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Students\Desktop\"/>
    </mc:Choice>
  </mc:AlternateContent>
  <xr:revisionPtr revIDLastSave="0" documentId="8_{B1ABF077-06D0-41C6-8EB9-FB7B64021C34}" xr6:coauthVersionLast="37" xr6:coauthVersionMax="37" xr10:uidLastSave="{00000000-0000-0000-0000-000000000000}"/>
  <bookViews>
    <workbookView xWindow="0" yWindow="0" windowWidth="19200" windowHeight="6820" tabRatio="500" activeTab="2" xr2:uid="{00000000-000D-0000-FFFF-FFFF00000000}"/>
  </bookViews>
  <sheets>
    <sheet name="TestPlan" sheetId="1" r:id="rId1"/>
    <sheet name="TestScenario" sheetId="2" r:id="rId2"/>
    <sheet name="TestCase" sheetId="3" r:id="rId3"/>
    <sheet name="DefectReport" sheetId="4" r:id="rId4"/>
    <sheet name="SummaryReport" sheetId="5" r:id="rId5"/>
    <sheet name="RTM" sheetId="6" r:id="rId6"/>
  </sheets>
  <definedNames>
    <definedName name="_xlnm._FilterDatabase" localSheetId="2" hidden="1">TestCase!$A$1:$J$37</definedName>
  </definedNames>
  <calcPr calcId="179021"/>
</workbook>
</file>

<file path=xl/calcChain.xml><?xml version="1.0" encoding="utf-8"?>
<calcChain xmlns="http://schemas.openxmlformats.org/spreadsheetml/2006/main">
  <c r="C45" i="6" l="1"/>
  <c r="C43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C44" i="6" s="1"/>
  <c r="G9" i="6"/>
  <c r="G8" i="6"/>
  <c r="G7" i="6"/>
  <c r="G6" i="6"/>
  <c r="G5" i="6"/>
  <c r="B27" i="5"/>
  <c r="E26" i="5"/>
  <c r="E27" i="5" s="1"/>
  <c r="B26" i="5"/>
  <c r="E25" i="5"/>
  <c r="B25" i="5"/>
  <c r="E24" i="5"/>
  <c r="B24" i="5"/>
  <c r="E19" i="5"/>
  <c r="D19" i="5"/>
  <c r="C19" i="5"/>
  <c r="F19" i="5" s="1"/>
  <c r="B19" i="5"/>
  <c r="F18" i="5"/>
  <c r="E18" i="5"/>
  <c r="D18" i="5"/>
  <c r="C18" i="5"/>
  <c r="B18" i="5"/>
  <c r="E17" i="5"/>
  <c r="D17" i="5"/>
  <c r="C17" i="5"/>
  <c r="F17" i="5" s="1"/>
  <c r="B17" i="5"/>
  <c r="E16" i="5"/>
  <c r="D16" i="5"/>
  <c r="C16" i="5"/>
  <c r="F16" i="5" s="1"/>
  <c r="B16" i="5"/>
  <c r="F15" i="5"/>
  <c r="E15" i="5"/>
  <c r="D15" i="5"/>
  <c r="C15" i="5"/>
  <c r="B15" i="5"/>
  <c r="E14" i="5"/>
  <c r="D14" i="5"/>
  <c r="C14" i="5"/>
  <c r="F14" i="5" s="1"/>
  <c r="B14" i="5"/>
  <c r="F13" i="5"/>
  <c r="E13" i="5"/>
  <c r="D13" i="5"/>
  <c r="C13" i="5"/>
  <c r="B13" i="5"/>
  <c r="E12" i="5"/>
  <c r="D12" i="5"/>
  <c r="C12" i="5"/>
  <c r="F12" i="5" s="1"/>
  <c r="B12" i="5"/>
  <c r="E11" i="5"/>
  <c r="D11" i="5"/>
  <c r="C11" i="5"/>
  <c r="F11" i="5" s="1"/>
  <c r="B11" i="5"/>
  <c r="F10" i="5"/>
  <c r="E10" i="5"/>
  <c r="E20" i="5" s="1"/>
  <c r="D10" i="5"/>
  <c r="C10" i="5"/>
  <c r="B10" i="5"/>
  <c r="E9" i="5"/>
  <c r="D9" i="5"/>
  <c r="D20" i="5" s="1"/>
  <c r="F20" i="5" s="1"/>
  <c r="C9" i="5"/>
  <c r="C20" i="5" s="1"/>
  <c r="B9" i="5"/>
  <c r="B20" i="5" s="1"/>
  <c r="F5" i="5"/>
  <c r="D5" i="5"/>
  <c r="C5" i="5"/>
  <c r="E5" i="5" s="1"/>
  <c r="B5" i="5"/>
  <c r="A5" i="5"/>
  <c r="F9" i="5" l="1"/>
  <c r="C46" i="6"/>
</calcChain>
</file>

<file path=xl/sharedStrings.xml><?xml version="1.0" encoding="utf-8"?>
<sst xmlns="http://schemas.openxmlformats.org/spreadsheetml/2006/main" count="729" uniqueCount="441">
  <si>
    <t>Test Plan ID</t>
  </si>
  <si>
    <t>ParaBank_01</t>
  </si>
  <si>
    <t>Application Name</t>
  </si>
  <si>
    <t>ParaBank (Online Banking)</t>
  </si>
  <si>
    <t>Application URL</t>
  </si>
  <si>
    <t>https://parabank.parasoft.com/parabank/index.htm</t>
  </si>
  <si>
    <t>Application Type</t>
  </si>
  <si>
    <t>Web Application</t>
  </si>
  <si>
    <t>Testing Type</t>
  </si>
  <si>
    <t>Manual Testing</t>
  </si>
  <si>
    <t>Testing Approach</t>
  </si>
  <si>
    <t>Black Box Testing</t>
  </si>
  <si>
    <t>In Scope</t>
  </si>
  <si>
    <t>Registration, Login, Forgot Login Info, Accounts Overview, Open New Account, Transfer Funds, Bill Pay, Find Transactions, Update Contact Info, Request Loan, Logout, Session Security</t>
  </si>
  <si>
    <t>Out of Scope</t>
  </si>
  <si>
    <t>Admin page, SOAP/REST web services, Performance and load testing</t>
  </si>
  <si>
    <t>Test Objectives</t>
  </si>
  <si>
    <t>Verify that the main online banking functions work correctly and identify defects.</t>
  </si>
  <si>
    <t>Test Environment</t>
  </si>
  <si>
    <t>Windows 11, Google Chrome, Internet</t>
  </si>
  <si>
    <t>Entry Criteria</t>
  </si>
  <si>
    <t>Application URL is accessible, test environment is ready, and a registered test user is available.</t>
  </si>
  <si>
    <t>Exit Criteria</t>
  </si>
  <si>
    <t>All planned test cases are executed and critical defects are reported and tracked.</t>
  </si>
  <si>
    <t>Test Deliverables</t>
  </si>
  <si>
    <t>Test Plan, Test Scenarios, Test Cases, RTM, Defect Report, Test Summary Report.</t>
  </si>
  <si>
    <t>Risks</t>
  </si>
  <si>
    <t>Demo site may be reset or unavailable; data is shared and can change.</t>
  </si>
  <si>
    <t>Mitigation</t>
  </si>
  <si>
    <t>Check the website before testing and register a fresh user if data is reset.</t>
  </si>
  <si>
    <t>Prepared By</t>
  </si>
  <si>
    <t>Gautami Mahajan</t>
  </si>
  <si>
    <t>S.No</t>
  </si>
  <si>
    <t>Module</t>
  </si>
  <si>
    <t>Test Scenario</t>
  </si>
  <si>
    <t>Registration</t>
  </si>
  <si>
    <t>Verify that a new user can register successfully with valid details.</t>
  </si>
  <si>
    <t>Verify that validation messages are displayed when all registration fields are left blank.</t>
  </si>
  <si>
    <t>Verify that registration fails when Password and Confirm Password do not match.</t>
  </si>
  <si>
    <t>Verify that registration fails when the username already exists.</t>
  </si>
  <si>
    <t>Verify that Username is mandatory on the Register page.</t>
  </si>
  <si>
    <t>Login</t>
  </si>
  <si>
    <t>Verify that the user can log in successfully with valid credentials.</t>
  </si>
  <si>
    <t>Verify that an error is displayed when an invalid username and password are entered.</t>
  </si>
  <si>
    <t>Verify that an error is displayed when Username and Password are left blank.</t>
  </si>
  <si>
    <t>Verify that the Password field masks the entered characters.</t>
  </si>
  <si>
    <t>Verify that a registered user can retrieve login info using the Forgot login info link.</t>
  </si>
  <si>
    <t>Verify that validation messages are displayed on the Forgot login info page when fields are blank.</t>
  </si>
  <si>
    <t>Security</t>
  </si>
  <si>
    <t>Verify that the session ID is not exposed in the page URL.</t>
  </si>
  <si>
    <t>Verify that the user cannot access account pages using the browser Back button after logout.</t>
  </si>
  <si>
    <t>Accounts Overview</t>
  </si>
  <si>
    <t>Verify that Accounts Overview lists all accounts with balance and available amount.</t>
  </si>
  <si>
    <t>Verify that the Account Details page opens when an account number is clicked.</t>
  </si>
  <si>
    <t>Open New Account</t>
  </si>
  <si>
    <t>Verify that a new Checking account can be opened.</t>
  </si>
  <si>
    <t>Verify that a new Savings account can be opened.</t>
  </si>
  <si>
    <t>Verify that the newly opened account appears in Accounts Overview.</t>
  </si>
  <si>
    <t>Transfer Funds</t>
  </si>
  <si>
    <t>Verify that funds can be transferred between two accounts.</t>
  </si>
  <si>
    <t>Verify that an error is displayed when the transfer amount is blank.</t>
  </si>
  <si>
    <t>Verify that a non-numeric transfer amount is rejected.</t>
  </si>
  <si>
    <t>Verify that a transfer greater than the available balance is handled correctly.</t>
  </si>
  <si>
    <t>Verify that account balances are updated after a transfer.</t>
  </si>
  <si>
    <t>Bill Pay</t>
  </si>
  <si>
    <t>Verify that a bill payment can be made with valid payee details.</t>
  </si>
  <si>
    <t>Verify that validation messages are displayed when Bill Pay fields are blank.</t>
  </si>
  <si>
    <t>Verify that an error is displayed when the account numbers do not match.</t>
  </si>
  <si>
    <t>Find Transactions</t>
  </si>
  <si>
    <t>Verify that a transaction can be found by Transaction ID.</t>
  </si>
  <si>
    <t>Verify that transactions can be found by amount.</t>
  </si>
  <si>
    <t>Verify that transactions can be found by date.</t>
  </si>
  <si>
    <t>Verify that an error is displayed when the Transaction ID field is blank or invalid.</t>
  </si>
  <si>
    <t>Update Contact Info</t>
  </si>
  <si>
    <t>Verify that the user can update contact information.</t>
  </si>
  <si>
    <t>Verify that validation messages are displayed when required profile fields are blank.</t>
  </si>
  <si>
    <t>Request Loan</t>
  </si>
  <si>
    <t>Verify that a loan request is processed with valid loan and down payment amounts.</t>
  </si>
  <si>
    <t>Verify that a loan request with blank amount and down payment is rejected.</t>
  </si>
  <si>
    <t>Logout</t>
  </si>
  <si>
    <t>Verify that the user can log out successfully.</t>
  </si>
  <si>
    <t>Verify that the user can log in again after logout.</t>
  </si>
  <si>
    <t>Test Case ID</t>
  </si>
  <si>
    <t>Test Steps</t>
  </si>
  <si>
    <t>Test Data</t>
  </si>
  <si>
    <t>Expected Result</t>
  </si>
  <si>
    <t>Actual Result</t>
  </si>
  <si>
    <t>Status</t>
  </si>
  <si>
    <t>Bug ID</t>
  </si>
  <si>
    <t>TC_001</t>
  </si>
  <si>
    <t>1. Open https://parabank.parasoft.com/parabank/index.htm.
2. Click Register.
3. Enter all details.
4. Click Register.</t>
  </si>
  <si>
    <t>First Name: John
Last Name: Test
Address: 12 MG Road
City: Mumbai
State: Maharashtra
Zip Code: 400001
Phone: 9876543210
SSN: 123-45-6789
Username: &lt;new unique username&gt;
Password: Test@123
Confirm: Test@123</t>
  </si>
  <si>
    <t>Account should be created and the message "Your account was created successfully. You are now logged in." should be displayed.</t>
  </si>
  <si>
    <t>Account was created, welcome message was displayed and the user was logged in.</t>
  </si>
  <si>
    <t>Pass</t>
  </si>
  <si>
    <t>TC_002</t>
  </si>
  <si>
    <t>1. Open the Register page.
2. Leave all fields blank.
3. Click Register.</t>
  </si>
  <si>
    <t>All fields blank</t>
  </si>
  <si>
    <t>Required-field messages (e.g. "First name is required.") should be displayed for all mandatory fields.</t>
  </si>
  <si>
    <t>Required-field messages were displayed for all mandatory fields.</t>
  </si>
  <si>
    <t>TC_003</t>
  </si>
  <si>
    <t>1. Open the Register page.
2. Fill all fields with different Password and Confirm values.
3. Click Register.</t>
  </si>
  <si>
    <t>Password: Test@123
Confirm: Test@456</t>
  </si>
  <si>
    <t>Message "Passwords did not match." should be displayed.</t>
  </si>
  <si>
    <t>Message "Passwords did not match." was displayed.</t>
  </si>
  <si>
    <t>TC_004</t>
  </si>
  <si>
    <t>1. Open the Register page.
2. Fill all fields using an existing username.
3. Click Register.</t>
  </si>
  <si>
    <t>Username: &lt;your registered username&gt; (already registered)</t>
  </si>
  <si>
    <t>Message "This username already exists." should be displayed.</t>
  </si>
  <si>
    <t>Message "This username already exists." was displayed.</t>
  </si>
  <si>
    <t>TC_005</t>
  </si>
  <si>
    <t>1. Open the Register page.
2. Fill all fields except Username.
3. Click Register.</t>
  </si>
  <si>
    <t>Username: Blank</t>
  </si>
  <si>
    <t>Message "Username is required." should be displayed.</t>
  </si>
  <si>
    <t>Message "Username is required." was displayed.</t>
  </si>
  <si>
    <t>TC_006</t>
  </si>
  <si>
    <t>1. Open the application.
2. Enter username and password.
3. Click Log In.</t>
  </si>
  <si>
    <t>Username: &lt;your registered username&gt;
Password: &lt;your password&gt;</t>
  </si>
  <si>
    <t>User should log in and the Accounts Overview page should open.</t>
  </si>
  <si>
    <t>Accounts Overview page was displayed.</t>
  </si>
  <si>
    <t>TC_007</t>
  </si>
  <si>
    <t>1. Open the application.
2. Enter invalid username and password.
3. Click Log In.</t>
  </si>
  <si>
    <t>Username: wrong_user
Password: wrong123</t>
  </si>
  <si>
    <t>Error "The username and password could not be verified." should be displayed.</t>
  </si>
  <si>
    <t>Error message was displayed and the user was not logged in.</t>
  </si>
  <si>
    <t>TC_008</t>
  </si>
  <si>
    <t>1. Open the application.
2. Leave both fields blank.
3. Click Log In.</t>
  </si>
  <si>
    <t>Username: Blank
Password: Blank</t>
  </si>
  <si>
    <t>Message "Please enter a username and password." should be displayed.</t>
  </si>
  <si>
    <t>Message "Please enter a username and password." was displayed.</t>
  </si>
  <si>
    <t>TC_009</t>
  </si>
  <si>
    <t>1. Open the application.
2. Type text in the Password field.</t>
  </si>
  <si>
    <t>Password: &lt;your password&gt;</t>
  </si>
  <si>
    <t>Password characters should be masked.</t>
  </si>
  <si>
    <t>Password characters were masked.</t>
  </si>
  <si>
    <t>TC_010</t>
  </si>
  <si>
    <t>1. Click "Forgot login info?".
2. Enter the details used at registration.
3. Click Find My Login Info.</t>
  </si>
  <si>
    <t>First Name, Last Name, Address, City, State, Zip Code, SSN used at registration</t>
  </si>
  <si>
    <t>Username and password of the user should be displayed.</t>
  </si>
  <si>
    <t>Login information was displayed for the matching customer.</t>
  </si>
  <si>
    <t>TC_011</t>
  </si>
  <si>
    <t>1. Click "Forgot login info?".
2. Leave all fields blank.
3. Click Find My Login Info.</t>
  </si>
  <si>
    <t>Required-field messages should be displayed.</t>
  </si>
  <si>
    <t>Required-field messages were displayed.</t>
  </si>
  <si>
    <t>TC_012</t>
  </si>
  <si>
    <t>1. Open https://parabank.parasoft.com/parabank/index.htm.
2. Click any link (e.g. About Us or Register).
3. Check the browser address bar / link URLs.</t>
  </si>
  <si>
    <t>Pages: Home, About Us, Register</t>
  </si>
  <si>
    <t>URLs should not contain the session ID (no ";jsessionid=" in the URL).</t>
  </si>
  <si>
    <t>Page links and URLs contain the session ID (";jsessionid=...") which exposes the session identifier.</t>
  </si>
  <si>
    <t>Fail</t>
  </si>
  <si>
    <t>BUG_001</t>
  </si>
  <si>
    <t>TC_013</t>
  </si>
  <si>
    <t>1. Login.
2. Click Log Out.
3. Click the browser Back button.</t>
  </si>
  <si>
    <t>Session should be invalid and the user should not see account data.</t>
  </si>
  <si>
    <t>User was able to view cached account pages using browser Back button after logout.</t>
  </si>
  <si>
    <t>BUG_002</t>
  </si>
  <si>
    <t>TC_014</t>
  </si>
  <si>
    <t>1. Login.
2. Open Accounts Overview.</t>
  </si>
  <si>
    <t>Account numbers, balances, available amounts and a total should be displayed.</t>
  </si>
  <si>
    <t>Accounts, balances, available amounts and the total were displayed.</t>
  </si>
  <si>
    <t>TC_015</t>
  </si>
  <si>
    <t>1. Login.
2. Open Accounts Overview.
3. Click an account number.</t>
  </si>
  <si>
    <t>Account: any listed account</t>
  </si>
  <si>
    <t>Account Details page should open with account type, balance and activity.</t>
  </si>
  <si>
    <t>Account Details page was displayed.</t>
  </si>
  <si>
    <t>TC_016</t>
  </si>
  <si>
    <t>1. Login.
2. Click Open New Account.
3. Select CHECKING.
4. Select an existing account to fund it.
5. Click Open New Account.</t>
  </si>
  <si>
    <t>Type: CHECKING</t>
  </si>
  <si>
    <t>Message "Account Opened!" with the new account number should be displayed.</t>
  </si>
  <si>
    <t>"Account Opened!" and a new account number were displayed.</t>
  </si>
  <si>
    <t>TC_017</t>
  </si>
  <si>
    <t>1. Login.
2. Click Open New Account.
3. Select SAVINGS.
4. Select an existing account to fund it.
5. Click Open New Account.</t>
  </si>
  <si>
    <t>Type: SAVINGS</t>
  </si>
  <si>
    <t>TC_018</t>
  </si>
  <si>
    <t>1. Login.
2. Open a new account and note the account number.
3. Open Accounts Overview.</t>
  </si>
  <si>
    <t>The new account should be listed in Accounts Overview.</t>
  </si>
  <si>
    <t>The new account was listed in Accounts Overview.</t>
  </si>
  <si>
    <t>TC_019</t>
  </si>
  <si>
    <t>1. Login.
2. Click Transfer Funds.
3. Enter amount.
4. Select From and To accounts.
5. Click Transfer.</t>
  </si>
  <si>
    <t>Amount: 100
From/To: two different accounts</t>
  </si>
  <si>
    <t>"Transfer Complete!" message with amount and account numbers should be displayed.</t>
  </si>
  <si>
    <t>"Transfer Complete!" message was displayed with correct details.</t>
  </si>
  <si>
    <t>TC_020</t>
  </si>
  <si>
    <t>1. Login.
2. Open Transfer Funds.
3. Leave Amount blank.
4. Click Transfer.</t>
  </si>
  <si>
    <t>Amount: Blank</t>
  </si>
  <si>
    <t>Message "The amount cannot be empty." should be displayed.</t>
  </si>
  <si>
    <t>Message "The amount cannot be empty." was displayed.</t>
  </si>
  <si>
    <t>TC_021</t>
  </si>
  <si>
    <t>1. Login.
2. Open Transfer Funds.
3. Enter letters in Amount.
4. Click Transfer.</t>
  </si>
  <si>
    <t>Amount: abc</t>
  </si>
  <si>
    <t>A validation message should be displayed and no transfer should happen.</t>
  </si>
  <si>
    <t>System accepted non-numeric characters in transfer amount, causing an unhandled server error.</t>
  </si>
  <si>
    <t>BUG_003</t>
  </si>
  <si>
    <t>TC_022</t>
  </si>
  <si>
    <t>1. Login.
2. Open Transfer Funds.
3. Enter an amount greater than the From account balance.
4. Click Transfer.</t>
  </si>
  <si>
    <t>Amount: more than available balance</t>
  </si>
  <si>
    <t>Transfer should be rejected with an insufficient-funds message.</t>
  </si>
  <si>
    <t>Transfer was rejected and appropriate error message was displayed.</t>
  </si>
  <si>
    <t>TC_023</t>
  </si>
  <si>
    <t>1. Login and note both account balances.
2. Transfer 100 from account A to account B.
3. Open Accounts Overview.</t>
  </si>
  <si>
    <t>Amount: 100</t>
  </si>
  <si>
    <t>Account A should decrease by 100 and account B should increase by 100.</t>
  </si>
  <si>
    <t>Balances were updated correctly.</t>
  </si>
  <si>
    <t>TC_024</t>
  </si>
  <si>
    <t>1. Login.
2. Click Bill Pay.
3. Enter payee details, account number (twice) and amount.
4. Select From account.
5. Click Send Payment.</t>
  </si>
  <si>
    <t>Payee: Electric Co
Address: 5 Park St
City: Mumbai
State: MH
Zip: 400001
Phone: 9876543210
Account: 12345 (confirm 12345)
Amount: 50</t>
  </si>
  <si>
    <t>"Bill Payment Complete" message should be displayed with payee, amount and account.</t>
  </si>
  <si>
    <t>"Bill Payment Complete" was displayed with correct details.</t>
  </si>
  <si>
    <t>TC_025</t>
  </si>
  <si>
    <t>1. Login.
2. Open Bill Pay.
3. Leave all fields blank.
4. Click Send Payment.</t>
  </si>
  <si>
    <t>Required-field messages should be displayed for all mandatory fields.</t>
  </si>
  <si>
    <t>TC_026</t>
  </si>
  <si>
    <t>1. Login.
2. Open Bill Pay.
3. Enter different Account and Verify Account numbers.
4. Fill other fields.
5. Click Send Payment.</t>
  </si>
  <si>
    <t>Account: 12345
Verify: 54321</t>
  </si>
  <si>
    <t>Message "The account numbers do not match." should be displayed.</t>
  </si>
  <si>
    <t>Account number mismatch message was displayed.</t>
  </si>
  <si>
    <t>TC_027</t>
  </si>
  <si>
    <t>1. Login.
2. Click Find Transactions.
3. Select account.
4. Enter a valid Transaction ID.
5. Click Find Transactions.</t>
  </si>
  <si>
    <t>Transaction ID: from account activity</t>
  </si>
  <si>
    <t>The matching transaction should be displayed.</t>
  </si>
  <si>
    <t>The matching transaction was displayed.</t>
  </si>
  <si>
    <t>TC_028</t>
  </si>
  <si>
    <t>1. Login.
2. Open Find Transactions.
3. Select account.
4. Enter the amount of a known transaction.
5. Click Find Transactions.</t>
  </si>
  <si>
    <t>Transactions with the entered amount should be listed.</t>
  </si>
  <si>
    <t>Transactions with the entered amount were listed.</t>
  </si>
  <si>
    <t>TC_029</t>
  </si>
  <si>
    <t>1. Login.
2. Open Find Transactions.
3. Select account.
4. Enter today's date in Find by Date.
5. Click Find Transactions.</t>
  </si>
  <si>
    <t>Date: today (MM-DD-YYYY)</t>
  </si>
  <si>
    <t>Transactions made on that date should be listed.</t>
  </si>
  <si>
    <t>Transactions made on that date were listed.</t>
  </si>
  <si>
    <t>TC_030</t>
  </si>
  <si>
    <t>1. Login.
2. Open Find Transactions.
3. Leave Transaction ID blank or enter letters.
4. Click Find Transactions.</t>
  </si>
  <si>
    <t>Transaction ID: Blank / abc</t>
  </si>
  <si>
    <t>Validation message should be displayed.</t>
  </si>
  <si>
    <t>System displayed an internal server error page when submitting invalid/blank Transaction ID.</t>
  </si>
  <si>
    <t>BUG_004</t>
  </si>
  <si>
    <t>TC_031</t>
  </si>
  <si>
    <t>1. Login.
2. Click Update Contact Info.
3. Change the Phone Number.
4. Click Update Profile.</t>
  </si>
  <si>
    <t>Phone: 9123456780</t>
  </si>
  <si>
    <t>"Profile Updated" message should be displayed.</t>
  </si>
  <si>
    <t>"Profile Updated" message was displayed.</t>
  </si>
  <si>
    <t>TC_032</t>
  </si>
  <si>
    <t>1. Login.
2. Open Update Contact Info.
3. Clear First Name and Address.
4. Click Update Profile.</t>
  </si>
  <si>
    <t>First Name: Blank
Address: Blank</t>
  </si>
  <si>
    <t>TC_033</t>
  </si>
  <si>
    <t>1. Login.
2. Click Request Loan.
3. Enter loan amount and down payment.
4. Select From account.
5. Click Apply Now.</t>
  </si>
  <si>
    <t>Loan Amount: 1000
Down Payment: 100</t>
  </si>
  <si>
    <t>"Loan Request Processed" should be displayed with an Approved or Denied status.</t>
  </si>
  <si>
    <t>Loan result page was displayed with a status.</t>
  </si>
  <si>
    <t>TC_034</t>
  </si>
  <si>
    <t>1. Login.
2. Open Request Loan.
3. Leave Loan Amount and Down Payment blank.
4. Click Apply Now.</t>
  </si>
  <si>
    <t>Loan Amount: Blank
Down Payment: Blank</t>
  </si>
  <si>
    <t>A validation message should be displayed and no loan should be processed.</t>
  </si>
  <si>
    <t>Validation message was displayed and blank request was rejected.</t>
  </si>
  <si>
    <t>TC_035</t>
  </si>
  <si>
    <t>1. Login.
2. Click Log Out.</t>
  </si>
  <si>
    <t>User should be logged out and the Customer Login page should be displayed.</t>
  </si>
  <si>
    <t>Customer Login page was displayed.</t>
  </si>
  <si>
    <t>TC_036</t>
  </si>
  <si>
    <t>1. Login.
2. Log out.
3. Login again with valid credentials.</t>
  </si>
  <si>
    <t>User should log in again and Accounts Overview should open.</t>
  </si>
  <si>
    <t>Accounts Overview was displayed.</t>
  </si>
  <si>
    <t>Bug Summary</t>
  </si>
  <si>
    <t>Severity</t>
  </si>
  <si>
    <t>Priority</t>
  </si>
  <si>
    <t>Steps to Reproduce</t>
  </si>
  <si>
    <t>Session ID is exposed in page URLs (;jsessionid=...)</t>
  </si>
  <si>
    <t>Medium</t>
  </si>
  <si>
    <t>Open</t>
  </si>
  <si>
    <t>1. Open application URL.
2. Click any link (About Us, Services, Register).
3. Check browser address bar.</t>
  </si>
  <si>
    <t>URLs should not contain session ID; session should be managed via secure HTTP-only cookies.</t>
  </si>
  <si>
    <t>Links and page URLs contain ";jsessionid=&lt;value&gt;", exposing sensitive session identifiers.</t>
  </si>
  <si>
    <t>Account pages accessible via browser Back button after logout</t>
  </si>
  <si>
    <t>High</t>
  </si>
  <si>
    <t>1. Log into ParaBank application.
2. Click Log Out.
3. Click browser Back button.</t>
  </si>
  <si>
    <t>Session should be destroyed upon logout, and previous pages should fail authentication.</t>
  </si>
  <si>
    <t>User can view previous account summary and transaction details without re-authenticating.</t>
  </si>
  <si>
    <t>Unhandled Exception / HTTP 500 error on entering non-numeric transfer amount</t>
  </si>
  <si>
    <t>1. Log in and go to Transfer Funds.
2. Enter non-numeric text (e.g., "abc") in Amount.
3. Click Transfer.</t>
  </si>
  <si>
    <t>Client/Server side validation should trigger a clear error message: "Please enter a valid amount".</t>
  </si>
  <si>
    <t>Application crashes with an unhandled exception page (HTTP 500 / NumberFormatException).</t>
  </si>
  <si>
    <t>Internal Error page displayed when Find Transactions search criteria is blank or invalid</t>
  </si>
  <si>
    <t>1. Go to Find Transactions.
2. Leave Transaction ID blank or enter special characters.
3. Click Find Transactions.</t>
  </si>
  <si>
    <t>Validation error message should prompt user to enter valid search criteria.</t>
  </si>
  <si>
    <t>An empty search triggers an raw error stack trace on the webpage.</t>
  </si>
  <si>
    <t>PARABANK MANUAL TESTING - EXECUTIVE SUMMARY REPORT</t>
  </si>
  <si>
    <t>Overall Execution Status &amp; Defect Breakdown</t>
  </si>
  <si>
    <t>Total Test Cases</t>
  </si>
  <si>
    <t>Executed</t>
  </si>
  <si>
    <t>Passed</t>
  </si>
  <si>
    <t>Failed</t>
  </si>
  <si>
    <t>Pass Rate (%)</t>
  </si>
  <si>
    <t>Total Bugs Found</t>
  </si>
  <si>
    <t>Module-wise Test Execution Summary</t>
  </si>
  <si>
    <t>Module Name</t>
  </si>
  <si>
    <t>Module Pass Rate (%)</t>
  </si>
  <si>
    <t>Total</t>
  </si>
  <si>
    <t>Defect Summary Breakdown</t>
  </si>
  <si>
    <t>Count</t>
  </si>
  <si>
    <t>Low</t>
  </si>
  <si>
    <t>Total Defects</t>
  </si>
  <si>
    <t>Requirements Traceability Matrix (RTM)</t>
  </si>
  <si>
    <t>Application: ParaBank  |  Prepared By: Gautami Mahajan   |  Testing Type: Manual Testing</t>
  </si>
  <si>
    <t>Req ID</t>
  </si>
  <si>
    <t>Requirement Description</t>
  </si>
  <si>
    <t>Test Scenario ID</t>
  </si>
  <si>
    <t>Test Case Description</t>
  </si>
  <si>
    <t>Execution Status</t>
  </si>
  <si>
    <t>REQ-001</t>
  </si>
  <si>
    <t>User must be able to register with valid details</t>
  </si>
  <si>
    <t>TS-001</t>
  </si>
  <si>
    <t>Verify a new user can register successfully with valid details.</t>
  </si>
  <si>
    <t>REQ-002</t>
  </si>
  <si>
    <t>Mandatory registration fields must be validated</t>
  </si>
  <si>
    <t>TS-002</t>
  </si>
  <si>
    <t>Verify validation messages are displayed when all registration fields are left blank.</t>
  </si>
  <si>
    <t>REQ-003</t>
  </si>
  <si>
    <t>Password and Confirm Password must match</t>
  </si>
  <si>
    <t>TS-003</t>
  </si>
  <si>
    <t>Verify registration fails when Password and Confirm Password do not match.</t>
  </si>
  <si>
    <t>REQ-004</t>
  </si>
  <si>
    <t>Duplicate usernames must be rejected</t>
  </si>
  <si>
    <t>TS-004</t>
  </si>
  <si>
    <t>Verify registration fails when the username already exists.</t>
  </si>
  <si>
    <t>TS-005</t>
  </si>
  <si>
    <t>Verify Username is mandatory on the Register page.</t>
  </si>
  <si>
    <t>REQ-005</t>
  </si>
  <si>
    <t>User must be able to login with valid credentials</t>
  </si>
  <si>
    <t>TS-006</t>
  </si>
  <si>
    <t>Verify the user can log in successfully with valid credentials.</t>
  </si>
  <si>
    <t>REQ-006</t>
  </si>
  <si>
    <t>System must show an error for invalid credentials</t>
  </si>
  <si>
    <t>TS-007</t>
  </si>
  <si>
    <t>Verify an error is displayed when an invalid username and password are entered.</t>
  </si>
  <si>
    <t>REQ-007</t>
  </si>
  <si>
    <t>System must show a message when login fields are blank</t>
  </si>
  <si>
    <t>TS-008</t>
  </si>
  <si>
    <t>Verify an error is displayed when Username and Password are left blank.</t>
  </si>
  <si>
    <t>REQ-008</t>
  </si>
  <si>
    <t>Password field must mask the entered text</t>
  </si>
  <si>
    <t>TS-009</t>
  </si>
  <si>
    <t>Verify the Password field masks the entered characters.</t>
  </si>
  <si>
    <t>REQ-009</t>
  </si>
  <si>
    <t>User must be able to retrieve login info</t>
  </si>
  <si>
    <t>TS-010</t>
  </si>
  <si>
    <t>Verify a registered user can retrieve login info using the Forgot login info link.</t>
  </si>
  <si>
    <t>REQ-010</t>
  </si>
  <si>
    <t>Forgot login info fields must be validated</t>
  </si>
  <si>
    <t>TS-011</t>
  </si>
  <si>
    <t>Verify validation messages are displayed on the Forgot login info page when fields are blank.</t>
  </si>
  <si>
    <t>REQ-011</t>
  </si>
  <si>
    <t>Session ID must not be exposed in the URL</t>
  </si>
  <si>
    <t>TS-012</t>
  </si>
  <si>
    <t>Verify the session ID is not exposed in the page URL.</t>
  </si>
  <si>
    <t>REQ-012</t>
  </si>
  <si>
    <t>Session must be invalid after logout</t>
  </si>
  <si>
    <t>TS-013</t>
  </si>
  <si>
    <t>Verify the user cannot access account pages using the browser Back button after logout.</t>
  </si>
  <si>
    <t>REQ-013</t>
  </si>
  <si>
    <t>Accounts Overview must show accounts and balances</t>
  </si>
  <si>
    <t>TS-014</t>
  </si>
  <si>
    <t>Verify Accounts Overview lists all accounts with balance and available amount.</t>
  </si>
  <si>
    <t>REQ-014</t>
  </si>
  <si>
    <t>Account Details must open from Accounts Overview</t>
  </si>
  <si>
    <t>TS-015</t>
  </si>
  <si>
    <t>Verify the Account Details page opens when an account number is clicked.</t>
  </si>
  <si>
    <t>REQ-015</t>
  </si>
  <si>
    <t>User must be able to open a new account</t>
  </si>
  <si>
    <t>TS-016</t>
  </si>
  <si>
    <t>Verify a new Checking account can be opened.</t>
  </si>
  <si>
    <t>TS-017</t>
  </si>
  <si>
    <t>Verify a new Savings account can be opened.</t>
  </si>
  <si>
    <t>REQ-016</t>
  </si>
  <si>
    <t>New account must appear in Accounts Overview</t>
  </si>
  <si>
    <t>TS-018</t>
  </si>
  <si>
    <t>Verify the newly opened account appears in Accounts Overview.</t>
  </si>
  <si>
    <t>REQ-017</t>
  </si>
  <si>
    <t>User must be able to transfer funds</t>
  </si>
  <si>
    <t>TS-019</t>
  </si>
  <si>
    <t>Verify funds can be transferred between two accounts.</t>
  </si>
  <si>
    <t>REQ-018</t>
  </si>
  <si>
    <t>Transfer amount must be validated</t>
  </si>
  <si>
    <t>TS-020</t>
  </si>
  <si>
    <t>Verify an error is displayed when the transfer amount is blank.</t>
  </si>
  <si>
    <t>TS-021</t>
  </si>
  <si>
    <t>Verify a non-numeric transfer amount is rejected.</t>
  </si>
  <si>
    <t>REQ-019</t>
  </si>
  <si>
    <t>Transfer must not exceed available balance</t>
  </si>
  <si>
    <t>TS-022</t>
  </si>
  <si>
    <t>Verify a transfer greater than the available balance is handled correctly.</t>
  </si>
  <si>
    <t>REQ-020</t>
  </si>
  <si>
    <t>Balances must update after a transfer</t>
  </si>
  <si>
    <t>TS-023</t>
  </si>
  <si>
    <t>Verify account balances are updated after a transfer.</t>
  </si>
  <si>
    <t>REQ-021</t>
  </si>
  <si>
    <t>User must be able to pay bills</t>
  </si>
  <si>
    <t>TS-024</t>
  </si>
  <si>
    <t>Verify a bill payment can be made with valid payee details.</t>
  </si>
  <si>
    <t>REQ-022</t>
  </si>
  <si>
    <t>Bill Pay fields must be validated</t>
  </si>
  <si>
    <t>TS-025</t>
  </si>
  <si>
    <t>Verify validation messages are displayed when Bill Pay fields are blank.</t>
  </si>
  <si>
    <t>TS-026</t>
  </si>
  <si>
    <t>Verify an error is displayed when the account numbers do not match.</t>
  </si>
  <si>
    <t>REQ-023</t>
  </si>
  <si>
    <t>User must be able to find transactions</t>
  </si>
  <si>
    <t>TS-027</t>
  </si>
  <si>
    <t>Verify a transaction can be found by Transaction ID.</t>
  </si>
  <si>
    <t>TS-028</t>
  </si>
  <si>
    <t>Verify transactions can be found by amount.</t>
  </si>
  <si>
    <t>TS-029</t>
  </si>
  <si>
    <t>Verify transactions can be found by date.</t>
  </si>
  <si>
    <t>REQ-024</t>
  </si>
  <si>
    <t>Find Transactions input must be validated</t>
  </si>
  <si>
    <t>TS-030</t>
  </si>
  <si>
    <t>Verify an error is displayed when the Transaction ID field is blank or invalid.</t>
  </si>
  <si>
    <t>REQ-025</t>
  </si>
  <si>
    <t>User must be able to update contact information</t>
  </si>
  <si>
    <t>TS-031</t>
  </si>
  <si>
    <t>Verify the user can update contact information.</t>
  </si>
  <si>
    <t>REQ-026</t>
  </si>
  <si>
    <t>Profile fields must be validated</t>
  </si>
  <si>
    <t>TS-032</t>
  </si>
  <si>
    <t>Verify validation messages are displayed when required profile fields are blank.</t>
  </si>
  <si>
    <t>REQ-027</t>
  </si>
  <si>
    <t>User must be able to request a loan</t>
  </si>
  <si>
    <t>TS-033</t>
  </si>
  <si>
    <t>Verify a loan request is processed with valid loan and down payment amounts.</t>
  </si>
  <si>
    <t>REQ-028</t>
  </si>
  <si>
    <t>Loan request fields must be validated</t>
  </si>
  <si>
    <t>TS-034</t>
  </si>
  <si>
    <t>Verify a loan request with blank amount and down payment is rejected.</t>
  </si>
  <si>
    <t>REQ-029</t>
  </si>
  <si>
    <t>User must be able to logout</t>
  </si>
  <si>
    <t>TS-035</t>
  </si>
  <si>
    <t>Verify the user can log out successfully.</t>
  </si>
  <si>
    <t>REQ-030</t>
  </si>
  <si>
    <t>User must be able to login again after logout</t>
  </si>
  <si>
    <t>TS-036</t>
  </si>
  <si>
    <t>Verify the user can log in again after logout.</t>
  </si>
  <si>
    <t>Test Execution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</si>
</sst>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17" x14ac:knownFonts="1">
    <font>
      <sz val="11"/>
      <color theme="1"/>
      <name val="Calibri"/>
      <charset val="1"/>
    </font>
    <font>
      <b/>
      <sz val="14"/>
      <color rgb="FFFFFFFF"/>
      <name val="Arial"/>
      <charset val="1"/>
    </font>
    <font>
      <sz val="10"/>
      <color rgb="FF1F4E7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1"/>
      <color rgb="FF276221"/>
      <name val="Calibri"/>
      <charset val="1"/>
    </font>
    <font>
      <b/>
      <sz val="11"/>
      <color rgb="FF9C0006"/>
      <name val="Calibri"/>
      <charset val="1"/>
    </font>
    <font>
      <b/>
      <sz val="11"/>
      <color rgb="FF7F6000"/>
      <name val="Calibri"/>
      <charset val="1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2"/>
      <color rgb="FF1F4E78"/>
      <name val="Calibri"/>
    </font>
    <font>
      <b/>
      <sz val="13"/>
      <color rgb="FF1F4E78"/>
      <name val="Calibri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E1F2"/>
      </patternFill>
    </fill>
    <fill>
      <patternFill patternType="solid">
        <fgColor rgb="FFFFFFFF"/>
        <bgColor rgb="FFFFFFCC"/>
      </patternFill>
    </fill>
    <fill>
      <patternFill patternType="solid">
        <fgColor rgb="FFD9E1F2"/>
        <bgColor rgb="FFD6E4F0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6" fillId="5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/>
    </xf>
    <xf numFmtId="0" fontId="0" fillId="0" borderId="5" xfId="0" applyBorder="1" applyAlignment="1">
      <alignment vertical="top"/>
    </xf>
    <xf numFmtId="0" fontId="11" fillId="0" borderId="0" xfId="0" applyFont="1"/>
    <xf numFmtId="0" fontId="12" fillId="0" borderId="0" xfId="0" applyFont="1"/>
    <xf numFmtId="0" fontId="14" fillId="0" borderId="5" xfId="0" applyFont="1" applyBorder="1" applyAlignment="1">
      <alignment horizontal="center" vertical="center"/>
    </xf>
    <xf numFmtId="168" fontId="14" fillId="0" borderId="5" xfId="0" applyNumberFormat="1" applyFont="1" applyBorder="1" applyAlignment="1">
      <alignment horizontal="center" vertical="center"/>
    </xf>
    <xf numFmtId="0" fontId="15" fillId="0" borderId="0" xfId="0" applyFont="1"/>
    <xf numFmtId="0" fontId="13" fillId="9" borderId="0" xfId="0" applyFont="1" applyFill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168" fontId="16" fillId="0" borderId="6" xfId="0" applyNumberFormat="1" applyFont="1" applyBorder="1" applyAlignment="1">
      <alignment horizontal="center" vertical="center"/>
    </xf>
    <xf numFmtId="0" fontId="13" fillId="10" borderId="0" xfId="0" applyFont="1" applyFill="1" applyAlignment="1">
      <alignment horizontal="left" vertical="center"/>
    </xf>
    <xf numFmtId="0" fontId="1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0" fillId="0" borderId="4" xfId="0" applyBorder="1"/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sz val="10"/>
        <color rgb="FF7F6000"/>
        <name val="Arial"/>
        <charset val="1"/>
      </font>
      <fill>
        <patternFill patternType="solid">
          <bgColor rgb="FFFFEB9C"/>
        </patternFill>
      </fill>
    </dxf>
    <dxf>
      <font>
        <b/>
        <sz val="10"/>
        <color rgb="FF9C0006"/>
        <name val="Arial"/>
        <charset val="1"/>
      </font>
      <fill>
        <patternFill patternType="solid">
          <bgColor rgb="FFFFC7CE"/>
        </patternFill>
      </fill>
    </dxf>
    <dxf>
      <font>
        <b/>
        <sz val="10"/>
        <color rgb="FF276221"/>
        <name val="Arial"/>
        <charset val="1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276221"/>
      <rgbColor rgb="00000080"/>
      <rgbColor rgb="007F6000"/>
      <rgbColor rgb="00800080"/>
      <rgbColor rgb="00008080"/>
      <rgbColor rgb="00C0C0C0"/>
      <rgbColor rgb="00808080"/>
      <rgbColor rgb="009999FF"/>
      <rgbColor rgb="00993366"/>
      <rgbColor rgb="00FFFFCC"/>
      <rgbColor rgb="00D6E4F0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EB9C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opLeftCell="A9" workbookViewId="0">
      <selection activeCell="B16" sqref="B16"/>
    </sheetView>
  </sheetViews>
  <sheetFormatPr defaultColWidth="8.6328125" defaultRowHeight="14.5" x14ac:dyDescent="0.35"/>
  <cols>
    <col min="1" max="1" width="20" customWidth="1"/>
    <col min="2" max="2" width="50" customWidth="1"/>
  </cols>
  <sheetData>
    <row r="1" spans="1:2" x14ac:dyDescent="0.35">
      <c r="A1" s="6" t="s">
        <v>0</v>
      </c>
      <c r="B1" s="7" t="s">
        <v>1</v>
      </c>
    </row>
    <row r="2" spans="1:2" x14ac:dyDescent="0.35">
      <c r="A2" s="6" t="s">
        <v>2</v>
      </c>
      <c r="B2" s="7" t="s">
        <v>3</v>
      </c>
    </row>
    <row r="3" spans="1:2" x14ac:dyDescent="0.35">
      <c r="A3" s="6" t="s">
        <v>4</v>
      </c>
      <c r="B3" s="7" t="s">
        <v>5</v>
      </c>
    </row>
    <row r="4" spans="1:2" x14ac:dyDescent="0.35">
      <c r="A4" s="6" t="s">
        <v>6</v>
      </c>
      <c r="B4" s="7" t="s">
        <v>7</v>
      </c>
    </row>
    <row r="5" spans="1:2" x14ac:dyDescent="0.35">
      <c r="A5" s="6" t="s">
        <v>8</v>
      </c>
      <c r="B5" s="7" t="s">
        <v>9</v>
      </c>
    </row>
    <row r="6" spans="1:2" x14ac:dyDescent="0.35">
      <c r="A6" s="6" t="s">
        <v>10</v>
      </c>
      <c r="B6" s="7" t="s">
        <v>11</v>
      </c>
    </row>
    <row r="7" spans="1:2" ht="48" customHeight="1" x14ac:dyDescent="0.35">
      <c r="A7" s="6" t="s">
        <v>12</v>
      </c>
      <c r="B7" s="7" t="s">
        <v>13</v>
      </c>
    </row>
    <row r="8" spans="1:2" ht="29" x14ac:dyDescent="0.35">
      <c r="A8" s="6" t="s">
        <v>14</v>
      </c>
      <c r="B8" s="7" t="s">
        <v>15</v>
      </c>
    </row>
    <row r="9" spans="1:2" ht="48" customHeight="1" x14ac:dyDescent="0.35">
      <c r="A9" s="6" t="s">
        <v>16</v>
      </c>
      <c r="B9" s="7" t="s">
        <v>17</v>
      </c>
    </row>
    <row r="10" spans="1:2" x14ac:dyDescent="0.35">
      <c r="A10" s="6" t="s">
        <v>18</v>
      </c>
      <c r="B10" s="7" t="s">
        <v>19</v>
      </c>
    </row>
    <row r="11" spans="1:2" ht="48" customHeight="1" x14ac:dyDescent="0.35">
      <c r="A11" s="6" t="s">
        <v>20</v>
      </c>
      <c r="B11" s="7" t="s">
        <v>21</v>
      </c>
    </row>
    <row r="12" spans="1:2" ht="48" customHeight="1" x14ac:dyDescent="0.35">
      <c r="A12" s="6" t="s">
        <v>22</v>
      </c>
      <c r="B12" s="7" t="s">
        <v>23</v>
      </c>
    </row>
    <row r="13" spans="1:2" ht="29" x14ac:dyDescent="0.35">
      <c r="A13" s="6" t="s">
        <v>24</v>
      </c>
      <c r="B13" s="7" t="s">
        <v>25</v>
      </c>
    </row>
    <row r="14" spans="1:2" ht="29" x14ac:dyDescent="0.35">
      <c r="A14" s="6" t="s">
        <v>26</v>
      </c>
      <c r="B14" s="7" t="s">
        <v>27</v>
      </c>
    </row>
    <row r="15" spans="1:2" ht="48" customHeight="1" x14ac:dyDescent="0.35">
      <c r="A15" s="6" t="s">
        <v>28</v>
      </c>
      <c r="B15" s="7" t="s">
        <v>29</v>
      </c>
    </row>
    <row r="16" spans="1:2" x14ac:dyDescent="0.35">
      <c r="A16" s="6" t="s">
        <v>30</v>
      </c>
      <c r="B16" s="7" t="s">
        <v>31</v>
      </c>
    </row>
    <row r="17" spans="1:2" ht="48" customHeight="1" x14ac:dyDescent="0.35">
      <c r="A17" s="6"/>
      <c r="B17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/>
  </sheetViews>
  <sheetFormatPr defaultColWidth="8.6328125" defaultRowHeight="14.5" x14ac:dyDescent="0.35"/>
  <cols>
    <col min="1" max="1" width="12" customWidth="1"/>
    <col min="2" max="2" width="22" customWidth="1"/>
    <col min="3" max="3" width="50" customWidth="1"/>
  </cols>
  <sheetData>
    <row r="1" spans="1:3" x14ac:dyDescent="0.35">
      <c r="A1" s="8" t="s">
        <v>32</v>
      </c>
      <c r="B1" s="8" t="s">
        <v>33</v>
      </c>
      <c r="C1" s="8" t="s">
        <v>34</v>
      </c>
    </row>
    <row r="2" spans="1:3" ht="31.5" customHeight="1" x14ac:dyDescent="0.35">
      <c r="A2" s="9">
        <v>1</v>
      </c>
      <c r="B2" s="7" t="s">
        <v>35</v>
      </c>
      <c r="C2" s="7" t="s">
        <v>36</v>
      </c>
    </row>
    <row r="3" spans="1:3" ht="31.5" customHeight="1" x14ac:dyDescent="0.35">
      <c r="A3" s="9">
        <v>2</v>
      </c>
      <c r="B3" s="7" t="s">
        <v>35</v>
      </c>
      <c r="C3" s="7" t="s">
        <v>37</v>
      </c>
    </row>
    <row r="4" spans="1:3" ht="31.5" customHeight="1" x14ac:dyDescent="0.35">
      <c r="A4" s="9">
        <v>3</v>
      </c>
      <c r="B4" s="7" t="s">
        <v>35</v>
      </c>
      <c r="C4" s="7" t="s">
        <v>38</v>
      </c>
    </row>
    <row r="5" spans="1:3" ht="31.5" customHeight="1" x14ac:dyDescent="0.35">
      <c r="A5" s="9">
        <v>4</v>
      </c>
      <c r="B5" s="7" t="s">
        <v>35</v>
      </c>
      <c r="C5" s="7" t="s">
        <v>39</v>
      </c>
    </row>
    <row r="6" spans="1:3" ht="31.5" customHeight="1" x14ac:dyDescent="0.35">
      <c r="A6" s="9">
        <v>5</v>
      </c>
      <c r="B6" s="7" t="s">
        <v>35</v>
      </c>
      <c r="C6" s="7" t="s">
        <v>40</v>
      </c>
    </row>
    <row r="7" spans="1:3" ht="31.5" customHeight="1" x14ac:dyDescent="0.35">
      <c r="A7" s="9">
        <v>6</v>
      </c>
      <c r="B7" s="7" t="s">
        <v>41</v>
      </c>
      <c r="C7" s="7" t="s">
        <v>42</v>
      </c>
    </row>
    <row r="8" spans="1:3" ht="31.5" customHeight="1" x14ac:dyDescent="0.35">
      <c r="A8" s="9">
        <v>7</v>
      </c>
      <c r="B8" s="7" t="s">
        <v>41</v>
      </c>
      <c r="C8" s="7" t="s">
        <v>43</v>
      </c>
    </row>
    <row r="9" spans="1:3" ht="31.5" customHeight="1" x14ac:dyDescent="0.35">
      <c r="A9" s="9">
        <v>8</v>
      </c>
      <c r="B9" s="7" t="s">
        <v>41</v>
      </c>
      <c r="C9" s="7" t="s">
        <v>44</v>
      </c>
    </row>
    <row r="10" spans="1:3" ht="31.5" customHeight="1" x14ac:dyDescent="0.35">
      <c r="A10" s="9">
        <v>9</v>
      </c>
      <c r="B10" s="7" t="s">
        <v>41</v>
      </c>
      <c r="C10" s="7" t="s">
        <v>45</v>
      </c>
    </row>
    <row r="11" spans="1:3" ht="31.5" customHeight="1" x14ac:dyDescent="0.35">
      <c r="A11" s="9">
        <v>10</v>
      </c>
      <c r="B11" s="7" t="s">
        <v>41</v>
      </c>
      <c r="C11" s="7" t="s">
        <v>46</v>
      </c>
    </row>
    <row r="12" spans="1:3" ht="31.5" customHeight="1" x14ac:dyDescent="0.35">
      <c r="A12" s="9">
        <v>11</v>
      </c>
      <c r="B12" s="7" t="s">
        <v>41</v>
      </c>
      <c r="C12" s="7" t="s">
        <v>47</v>
      </c>
    </row>
    <row r="13" spans="1:3" ht="31.5" customHeight="1" x14ac:dyDescent="0.35">
      <c r="A13" s="9">
        <v>12</v>
      </c>
      <c r="B13" s="7" t="s">
        <v>48</v>
      </c>
      <c r="C13" s="7" t="s">
        <v>49</v>
      </c>
    </row>
    <row r="14" spans="1:3" ht="31.5" customHeight="1" x14ac:dyDescent="0.35">
      <c r="A14" s="9">
        <v>13</v>
      </c>
      <c r="B14" s="7" t="s">
        <v>48</v>
      </c>
      <c r="C14" s="7" t="s">
        <v>50</v>
      </c>
    </row>
    <row r="15" spans="1:3" ht="31.5" customHeight="1" x14ac:dyDescent="0.35">
      <c r="A15" s="9">
        <v>14</v>
      </c>
      <c r="B15" s="7" t="s">
        <v>51</v>
      </c>
      <c r="C15" s="7" t="s">
        <v>52</v>
      </c>
    </row>
    <row r="16" spans="1:3" ht="31.5" customHeight="1" x14ac:dyDescent="0.35">
      <c r="A16" s="9">
        <v>15</v>
      </c>
      <c r="B16" s="7" t="s">
        <v>51</v>
      </c>
      <c r="C16" s="7" t="s">
        <v>53</v>
      </c>
    </row>
    <row r="17" spans="1:3" ht="31.5" customHeight="1" x14ac:dyDescent="0.35">
      <c r="A17" s="9">
        <v>16</v>
      </c>
      <c r="B17" s="7" t="s">
        <v>54</v>
      </c>
      <c r="C17" s="7" t="s">
        <v>55</v>
      </c>
    </row>
    <row r="18" spans="1:3" ht="31.5" customHeight="1" x14ac:dyDescent="0.35">
      <c r="A18" s="9">
        <v>17</v>
      </c>
      <c r="B18" s="7" t="s">
        <v>54</v>
      </c>
      <c r="C18" s="7" t="s">
        <v>56</v>
      </c>
    </row>
    <row r="19" spans="1:3" ht="31.5" customHeight="1" x14ac:dyDescent="0.35">
      <c r="A19" s="9">
        <v>18</v>
      </c>
      <c r="B19" s="7" t="s">
        <v>54</v>
      </c>
      <c r="C19" s="7" t="s">
        <v>57</v>
      </c>
    </row>
    <row r="20" spans="1:3" ht="31.5" customHeight="1" x14ac:dyDescent="0.35">
      <c r="A20" s="9">
        <v>19</v>
      </c>
      <c r="B20" s="7" t="s">
        <v>58</v>
      </c>
      <c r="C20" s="7" t="s">
        <v>59</v>
      </c>
    </row>
    <row r="21" spans="1:3" ht="31.5" customHeight="1" x14ac:dyDescent="0.35">
      <c r="A21" s="9">
        <v>20</v>
      </c>
      <c r="B21" s="7" t="s">
        <v>58</v>
      </c>
      <c r="C21" s="7" t="s">
        <v>60</v>
      </c>
    </row>
    <row r="22" spans="1:3" ht="31.5" customHeight="1" x14ac:dyDescent="0.35">
      <c r="A22" s="9">
        <v>21</v>
      </c>
      <c r="B22" s="7" t="s">
        <v>58</v>
      </c>
      <c r="C22" s="7" t="s">
        <v>61</v>
      </c>
    </row>
    <row r="23" spans="1:3" ht="31.5" customHeight="1" x14ac:dyDescent="0.35">
      <c r="A23" s="9">
        <v>22</v>
      </c>
      <c r="B23" s="7" t="s">
        <v>58</v>
      </c>
      <c r="C23" s="7" t="s">
        <v>62</v>
      </c>
    </row>
    <row r="24" spans="1:3" ht="31.5" customHeight="1" x14ac:dyDescent="0.35">
      <c r="A24" s="9">
        <v>23</v>
      </c>
      <c r="B24" s="7" t="s">
        <v>58</v>
      </c>
      <c r="C24" s="7" t="s">
        <v>63</v>
      </c>
    </row>
    <row r="25" spans="1:3" ht="31.5" customHeight="1" x14ac:dyDescent="0.35">
      <c r="A25" s="9">
        <v>24</v>
      </c>
      <c r="B25" s="7" t="s">
        <v>64</v>
      </c>
      <c r="C25" s="7" t="s">
        <v>65</v>
      </c>
    </row>
    <row r="26" spans="1:3" ht="31.5" customHeight="1" x14ac:dyDescent="0.35">
      <c r="A26" s="9">
        <v>25</v>
      </c>
      <c r="B26" s="7" t="s">
        <v>64</v>
      </c>
      <c r="C26" s="7" t="s">
        <v>66</v>
      </c>
    </row>
    <row r="27" spans="1:3" ht="31.5" customHeight="1" x14ac:dyDescent="0.35">
      <c r="A27" s="9">
        <v>26</v>
      </c>
      <c r="B27" s="7" t="s">
        <v>64</v>
      </c>
      <c r="C27" s="7" t="s">
        <v>67</v>
      </c>
    </row>
    <row r="28" spans="1:3" ht="31.5" customHeight="1" x14ac:dyDescent="0.35">
      <c r="A28" s="9">
        <v>27</v>
      </c>
      <c r="B28" s="7" t="s">
        <v>68</v>
      </c>
      <c r="C28" s="7" t="s">
        <v>69</v>
      </c>
    </row>
    <row r="29" spans="1:3" ht="31.5" customHeight="1" x14ac:dyDescent="0.35">
      <c r="A29" s="9">
        <v>28</v>
      </c>
      <c r="B29" s="7" t="s">
        <v>68</v>
      </c>
      <c r="C29" s="7" t="s">
        <v>70</v>
      </c>
    </row>
    <row r="30" spans="1:3" ht="31.5" customHeight="1" x14ac:dyDescent="0.35">
      <c r="A30" s="9">
        <v>29</v>
      </c>
      <c r="B30" s="7" t="s">
        <v>68</v>
      </c>
      <c r="C30" s="7" t="s">
        <v>71</v>
      </c>
    </row>
    <row r="31" spans="1:3" ht="31.5" customHeight="1" x14ac:dyDescent="0.35">
      <c r="A31" s="9">
        <v>30</v>
      </c>
      <c r="B31" s="7" t="s">
        <v>68</v>
      </c>
      <c r="C31" s="7" t="s">
        <v>72</v>
      </c>
    </row>
    <row r="32" spans="1:3" ht="31.5" customHeight="1" x14ac:dyDescent="0.35">
      <c r="A32" s="9">
        <v>31</v>
      </c>
      <c r="B32" s="7" t="s">
        <v>73</v>
      </c>
      <c r="C32" s="7" t="s">
        <v>74</v>
      </c>
    </row>
    <row r="33" spans="1:3" ht="31.5" customHeight="1" x14ac:dyDescent="0.35">
      <c r="A33" s="9">
        <v>32</v>
      </c>
      <c r="B33" s="7" t="s">
        <v>73</v>
      </c>
      <c r="C33" s="7" t="s">
        <v>75</v>
      </c>
    </row>
    <row r="34" spans="1:3" ht="31.5" customHeight="1" x14ac:dyDescent="0.35">
      <c r="A34" s="9">
        <v>33</v>
      </c>
      <c r="B34" s="7" t="s">
        <v>76</v>
      </c>
      <c r="C34" s="7" t="s">
        <v>77</v>
      </c>
    </row>
    <row r="35" spans="1:3" ht="31.5" customHeight="1" x14ac:dyDescent="0.35">
      <c r="A35" s="9">
        <v>34</v>
      </c>
      <c r="B35" s="7" t="s">
        <v>76</v>
      </c>
      <c r="C35" s="7" t="s">
        <v>78</v>
      </c>
    </row>
    <row r="36" spans="1:3" ht="31.5" customHeight="1" x14ac:dyDescent="0.35">
      <c r="A36" s="9">
        <v>35</v>
      </c>
      <c r="B36" s="7" t="s">
        <v>79</v>
      </c>
      <c r="C36" s="7" t="s">
        <v>80</v>
      </c>
    </row>
    <row r="37" spans="1:3" ht="31.5" customHeight="1" x14ac:dyDescent="0.35">
      <c r="A37" s="9">
        <v>36</v>
      </c>
      <c r="B37" s="7" t="s">
        <v>79</v>
      </c>
      <c r="C37" s="7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tabSelected="1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15" customWidth="1"/>
    <col min="3" max="3" width="22" customWidth="1"/>
    <col min="4" max="8" width="50" customWidth="1"/>
    <col min="9" max="10" width="12" customWidth="1"/>
  </cols>
  <sheetData>
    <row r="1" spans="1:10" x14ac:dyDescent="0.35">
      <c r="A1" s="8" t="s">
        <v>32</v>
      </c>
      <c r="B1" s="8" t="s">
        <v>82</v>
      </c>
      <c r="C1" s="8" t="s">
        <v>33</v>
      </c>
      <c r="D1" s="8" t="s">
        <v>34</v>
      </c>
      <c r="E1" s="8" t="s">
        <v>83</v>
      </c>
      <c r="F1" s="8" t="s">
        <v>84</v>
      </c>
      <c r="G1" s="8" t="s">
        <v>85</v>
      </c>
      <c r="H1" s="8" t="s">
        <v>86</v>
      </c>
      <c r="I1" s="8" t="s">
        <v>87</v>
      </c>
      <c r="J1" s="8" t="s">
        <v>88</v>
      </c>
    </row>
    <row r="2" spans="1:10" ht="150" customHeight="1" x14ac:dyDescent="0.35">
      <c r="A2" s="9">
        <v>1</v>
      </c>
      <c r="B2" s="9" t="s">
        <v>89</v>
      </c>
      <c r="C2" s="7" t="s">
        <v>35</v>
      </c>
      <c r="D2" s="7" t="s">
        <v>36</v>
      </c>
      <c r="E2" s="7" t="s">
        <v>90</v>
      </c>
      <c r="F2" s="7" t="s">
        <v>91</v>
      </c>
      <c r="G2" s="7" t="s">
        <v>92</v>
      </c>
      <c r="H2" s="7" t="s">
        <v>93</v>
      </c>
      <c r="I2" s="10" t="s">
        <v>94</v>
      </c>
      <c r="J2" s="9"/>
    </row>
    <row r="3" spans="1:10" ht="75" customHeight="1" x14ac:dyDescent="0.35">
      <c r="A3" s="9">
        <v>2</v>
      </c>
      <c r="B3" s="9" t="s">
        <v>95</v>
      </c>
      <c r="C3" s="7" t="s">
        <v>35</v>
      </c>
      <c r="D3" s="7" t="s">
        <v>37</v>
      </c>
      <c r="E3" s="7" t="s">
        <v>96</v>
      </c>
      <c r="F3" s="7" t="s">
        <v>97</v>
      </c>
      <c r="G3" s="7" t="s">
        <v>98</v>
      </c>
      <c r="H3" s="7" t="s">
        <v>99</v>
      </c>
      <c r="I3" s="10" t="s">
        <v>94</v>
      </c>
      <c r="J3" s="9"/>
    </row>
    <row r="4" spans="1:10" ht="75" customHeight="1" x14ac:dyDescent="0.35">
      <c r="A4" s="9">
        <v>3</v>
      </c>
      <c r="B4" s="9" t="s">
        <v>100</v>
      </c>
      <c r="C4" s="7" t="s">
        <v>35</v>
      </c>
      <c r="D4" s="7" t="s">
        <v>38</v>
      </c>
      <c r="E4" s="7" t="s">
        <v>101</v>
      </c>
      <c r="F4" s="7" t="s">
        <v>102</v>
      </c>
      <c r="G4" s="7" t="s">
        <v>103</v>
      </c>
      <c r="H4" s="7" t="s">
        <v>104</v>
      </c>
      <c r="I4" s="10" t="s">
        <v>94</v>
      </c>
      <c r="J4" s="9"/>
    </row>
    <row r="5" spans="1:10" ht="75" customHeight="1" x14ac:dyDescent="0.35">
      <c r="A5" s="9">
        <v>4</v>
      </c>
      <c r="B5" s="9" t="s">
        <v>105</v>
      </c>
      <c r="C5" s="7" t="s">
        <v>35</v>
      </c>
      <c r="D5" s="7" t="s">
        <v>39</v>
      </c>
      <c r="E5" s="7" t="s">
        <v>106</v>
      </c>
      <c r="F5" s="7" t="s">
        <v>107</v>
      </c>
      <c r="G5" s="7" t="s">
        <v>108</v>
      </c>
      <c r="H5" s="7" t="s">
        <v>109</v>
      </c>
      <c r="I5" s="10" t="s">
        <v>94</v>
      </c>
      <c r="J5" s="9"/>
    </row>
    <row r="6" spans="1:10" ht="75" customHeight="1" x14ac:dyDescent="0.35">
      <c r="A6" s="9">
        <v>5</v>
      </c>
      <c r="B6" s="9" t="s">
        <v>110</v>
      </c>
      <c r="C6" s="7" t="s">
        <v>35</v>
      </c>
      <c r="D6" s="7" t="s">
        <v>40</v>
      </c>
      <c r="E6" s="7" t="s">
        <v>111</v>
      </c>
      <c r="F6" s="7" t="s">
        <v>112</v>
      </c>
      <c r="G6" s="7" t="s">
        <v>113</v>
      </c>
      <c r="H6" s="7" t="s">
        <v>114</v>
      </c>
      <c r="I6" s="10" t="s">
        <v>94</v>
      </c>
      <c r="J6" s="9"/>
    </row>
    <row r="7" spans="1:10" ht="75" customHeight="1" x14ac:dyDescent="0.35">
      <c r="A7" s="9">
        <v>6</v>
      </c>
      <c r="B7" s="9" t="s">
        <v>115</v>
      </c>
      <c r="C7" s="7" t="s">
        <v>41</v>
      </c>
      <c r="D7" s="7" t="s">
        <v>42</v>
      </c>
      <c r="E7" s="7" t="s">
        <v>116</v>
      </c>
      <c r="F7" s="7" t="s">
        <v>117</v>
      </c>
      <c r="G7" s="7" t="s">
        <v>118</v>
      </c>
      <c r="H7" s="7" t="s">
        <v>119</v>
      </c>
      <c r="I7" s="10" t="s">
        <v>94</v>
      </c>
      <c r="J7" s="9"/>
    </row>
    <row r="8" spans="1:10" ht="75" customHeight="1" x14ac:dyDescent="0.35">
      <c r="A8" s="9">
        <v>7</v>
      </c>
      <c r="B8" s="9" t="s">
        <v>120</v>
      </c>
      <c r="C8" s="7" t="s">
        <v>41</v>
      </c>
      <c r="D8" s="7" t="s">
        <v>43</v>
      </c>
      <c r="E8" s="7" t="s">
        <v>121</v>
      </c>
      <c r="F8" s="7" t="s">
        <v>122</v>
      </c>
      <c r="G8" s="7" t="s">
        <v>123</v>
      </c>
      <c r="H8" s="7" t="s">
        <v>124</v>
      </c>
      <c r="I8" s="10" t="s">
        <v>94</v>
      </c>
      <c r="J8" s="9"/>
    </row>
    <row r="9" spans="1:10" ht="75" customHeight="1" x14ac:dyDescent="0.35">
      <c r="A9" s="9">
        <v>8</v>
      </c>
      <c r="B9" s="9" t="s">
        <v>125</v>
      </c>
      <c r="C9" s="7" t="s">
        <v>41</v>
      </c>
      <c r="D9" s="7" t="s">
        <v>44</v>
      </c>
      <c r="E9" s="7" t="s">
        <v>126</v>
      </c>
      <c r="F9" s="7" t="s">
        <v>127</v>
      </c>
      <c r="G9" s="7" t="s">
        <v>128</v>
      </c>
      <c r="H9" s="7" t="s">
        <v>129</v>
      </c>
      <c r="I9" s="10" t="s">
        <v>94</v>
      </c>
      <c r="J9" s="9"/>
    </row>
    <row r="10" spans="1:10" ht="75" customHeight="1" x14ac:dyDescent="0.35">
      <c r="A10" s="9">
        <v>9</v>
      </c>
      <c r="B10" s="9" t="s">
        <v>130</v>
      </c>
      <c r="C10" s="7" t="s">
        <v>41</v>
      </c>
      <c r="D10" s="7" t="s">
        <v>45</v>
      </c>
      <c r="E10" s="7" t="s">
        <v>131</v>
      </c>
      <c r="F10" s="7" t="s">
        <v>132</v>
      </c>
      <c r="G10" s="7" t="s">
        <v>133</v>
      </c>
      <c r="H10" s="7" t="s">
        <v>134</v>
      </c>
      <c r="I10" s="10" t="s">
        <v>94</v>
      </c>
      <c r="J10" s="9"/>
    </row>
    <row r="11" spans="1:10" ht="105" customHeight="1" x14ac:dyDescent="0.35">
      <c r="A11" s="9">
        <v>10</v>
      </c>
      <c r="B11" s="9" t="s">
        <v>135</v>
      </c>
      <c r="C11" s="7" t="s">
        <v>41</v>
      </c>
      <c r="D11" s="7" t="s">
        <v>46</v>
      </c>
      <c r="E11" s="7" t="s">
        <v>136</v>
      </c>
      <c r="F11" s="7" t="s">
        <v>137</v>
      </c>
      <c r="G11" s="7" t="s">
        <v>138</v>
      </c>
      <c r="H11" s="7" t="s">
        <v>139</v>
      </c>
      <c r="I11" s="10" t="s">
        <v>94</v>
      </c>
      <c r="J11" s="9"/>
    </row>
    <row r="12" spans="1:10" ht="75" customHeight="1" x14ac:dyDescent="0.35">
      <c r="A12" s="9">
        <v>11</v>
      </c>
      <c r="B12" s="9" t="s">
        <v>140</v>
      </c>
      <c r="C12" s="7" t="s">
        <v>41</v>
      </c>
      <c r="D12" s="7" t="s">
        <v>47</v>
      </c>
      <c r="E12" s="7" t="s">
        <v>141</v>
      </c>
      <c r="F12" s="7" t="s">
        <v>97</v>
      </c>
      <c r="G12" s="7" t="s">
        <v>142</v>
      </c>
      <c r="H12" s="7" t="s">
        <v>143</v>
      </c>
      <c r="I12" s="10" t="s">
        <v>94</v>
      </c>
      <c r="J12" s="9"/>
    </row>
    <row r="13" spans="1:10" ht="105" customHeight="1" x14ac:dyDescent="0.35">
      <c r="A13" s="9">
        <v>12</v>
      </c>
      <c r="B13" s="9" t="s">
        <v>144</v>
      </c>
      <c r="C13" s="7" t="s">
        <v>48</v>
      </c>
      <c r="D13" s="7" t="s">
        <v>49</v>
      </c>
      <c r="E13" s="7" t="s">
        <v>145</v>
      </c>
      <c r="F13" s="7" t="s">
        <v>146</v>
      </c>
      <c r="G13" s="7" t="s">
        <v>147</v>
      </c>
      <c r="H13" s="7" t="s">
        <v>148</v>
      </c>
      <c r="I13" s="11" t="s">
        <v>149</v>
      </c>
      <c r="J13" s="9" t="s">
        <v>150</v>
      </c>
    </row>
    <row r="14" spans="1:10" ht="75" customHeight="1" x14ac:dyDescent="0.35">
      <c r="A14" s="9">
        <v>13</v>
      </c>
      <c r="B14" s="9" t="s">
        <v>151</v>
      </c>
      <c r="C14" s="7" t="s">
        <v>48</v>
      </c>
      <c r="D14" s="7" t="s">
        <v>50</v>
      </c>
      <c r="E14" s="7" t="s">
        <v>152</v>
      </c>
      <c r="F14" s="7" t="s">
        <v>117</v>
      </c>
      <c r="G14" s="7" t="s">
        <v>153</v>
      </c>
      <c r="H14" s="7" t="s">
        <v>154</v>
      </c>
      <c r="I14" s="12" t="s">
        <v>149</v>
      </c>
      <c r="J14" s="9" t="s">
        <v>155</v>
      </c>
    </row>
    <row r="15" spans="1:10" ht="75" customHeight="1" x14ac:dyDescent="0.35">
      <c r="A15" s="9">
        <v>14</v>
      </c>
      <c r="B15" s="9" t="s">
        <v>156</v>
      </c>
      <c r="C15" s="7" t="s">
        <v>51</v>
      </c>
      <c r="D15" s="7" t="s">
        <v>52</v>
      </c>
      <c r="E15" s="7" t="s">
        <v>157</v>
      </c>
      <c r="F15" s="7" t="s">
        <v>117</v>
      </c>
      <c r="G15" s="7" t="s">
        <v>158</v>
      </c>
      <c r="H15" s="7" t="s">
        <v>159</v>
      </c>
      <c r="I15" s="10" t="s">
        <v>94</v>
      </c>
      <c r="J15" s="9"/>
    </row>
    <row r="16" spans="1:10" ht="75" customHeight="1" x14ac:dyDescent="0.35">
      <c r="A16" s="9">
        <v>15</v>
      </c>
      <c r="B16" s="9" t="s">
        <v>160</v>
      </c>
      <c r="C16" s="7" t="s">
        <v>51</v>
      </c>
      <c r="D16" s="7" t="s">
        <v>53</v>
      </c>
      <c r="E16" s="7" t="s">
        <v>161</v>
      </c>
      <c r="F16" s="7" t="s">
        <v>162</v>
      </c>
      <c r="G16" s="7" t="s">
        <v>163</v>
      </c>
      <c r="H16" s="7" t="s">
        <v>164</v>
      </c>
      <c r="I16" s="10" t="s">
        <v>94</v>
      </c>
      <c r="J16" s="9"/>
    </row>
    <row r="17" spans="1:10" ht="105" customHeight="1" x14ac:dyDescent="0.35">
      <c r="A17" s="9">
        <v>16</v>
      </c>
      <c r="B17" s="9" t="s">
        <v>165</v>
      </c>
      <c r="C17" s="7" t="s">
        <v>54</v>
      </c>
      <c r="D17" s="7" t="s">
        <v>55</v>
      </c>
      <c r="E17" s="7" t="s">
        <v>166</v>
      </c>
      <c r="F17" s="7" t="s">
        <v>167</v>
      </c>
      <c r="G17" s="7" t="s">
        <v>168</v>
      </c>
      <c r="H17" s="7" t="s">
        <v>169</v>
      </c>
      <c r="I17" s="10" t="s">
        <v>94</v>
      </c>
      <c r="J17" s="9"/>
    </row>
    <row r="18" spans="1:10" ht="105" customHeight="1" x14ac:dyDescent="0.35">
      <c r="A18" s="9">
        <v>17</v>
      </c>
      <c r="B18" s="9" t="s">
        <v>170</v>
      </c>
      <c r="C18" s="7" t="s">
        <v>54</v>
      </c>
      <c r="D18" s="7" t="s">
        <v>56</v>
      </c>
      <c r="E18" s="7" t="s">
        <v>171</v>
      </c>
      <c r="F18" s="7" t="s">
        <v>172</v>
      </c>
      <c r="G18" s="7" t="s">
        <v>168</v>
      </c>
      <c r="H18" s="7" t="s">
        <v>169</v>
      </c>
      <c r="I18" s="10" t="s">
        <v>94</v>
      </c>
      <c r="J18" s="9"/>
    </row>
    <row r="19" spans="1:10" ht="75" customHeight="1" x14ac:dyDescent="0.35">
      <c r="A19" s="9">
        <v>18</v>
      </c>
      <c r="B19" s="9" t="s">
        <v>173</v>
      </c>
      <c r="C19" s="7" t="s">
        <v>54</v>
      </c>
      <c r="D19" s="7" t="s">
        <v>57</v>
      </c>
      <c r="E19" s="7" t="s">
        <v>174</v>
      </c>
      <c r="F19" s="7" t="s">
        <v>172</v>
      </c>
      <c r="G19" s="7" t="s">
        <v>175</v>
      </c>
      <c r="H19" s="7" t="s">
        <v>176</v>
      </c>
      <c r="I19" s="10" t="s">
        <v>94</v>
      </c>
      <c r="J19" s="9"/>
    </row>
    <row r="20" spans="1:10" ht="75" customHeight="1" x14ac:dyDescent="0.35">
      <c r="A20" s="9">
        <v>19</v>
      </c>
      <c r="B20" s="9" t="s">
        <v>177</v>
      </c>
      <c r="C20" s="7" t="s">
        <v>58</v>
      </c>
      <c r="D20" s="7" t="s">
        <v>59</v>
      </c>
      <c r="E20" s="7" t="s">
        <v>178</v>
      </c>
      <c r="F20" s="7" t="s">
        <v>179</v>
      </c>
      <c r="G20" s="7" t="s">
        <v>180</v>
      </c>
      <c r="H20" s="7" t="s">
        <v>181</v>
      </c>
      <c r="I20" s="10" t="s">
        <v>94</v>
      </c>
      <c r="J20" s="9"/>
    </row>
    <row r="21" spans="1:10" ht="75" customHeight="1" x14ac:dyDescent="0.35">
      <c r="A21" s="9">
        <v>20</v>
      </c>
      <c r="B21" s="9" t="s">
        <v>182</v>
      </c>
      <c r="C21" s="7" t="s">
        <v>58</v>
      </c>
      <c r="D21" s="7" t="s">
        <v>60</v>
      </c>
      <c r="E21" s="7" t="s">
        <v>183</v>
      </c>
      <c r="F21" s="7" t="s">
        <v>184</v>
      </c>
      <c r="G21" s="7" t="s">
        <v>185</v>
      </c>
      <c r="H21" s="7" t="s">
        <v>186</v>
      </c>
      <c r="I21" s="10" t="s">
        <v>94</v>
      </c>
      <c r="J21" s="9"/>
    </row>
    <row r="22" spans="1:10" ht="75" customHeight="1" x14ac:dyDescent="0.35">
      <c r="A22" s="9">
        <v>21</v>
      </c>
      <c r="B22" s="9" t="s">
        <v>187</v>
      </c>
      <c r="C22" s="7" t="s">
        <v>58</v>
      </c>
      <c r="D22" s="7" t="s">
        <v>61</v>
      </c>
      <c r="E22" s="7" t="s">
        <v>188</v>
      </c>
      <c r="F22" s="7" t="s">
        <v>189</v>
      </c>
      <c r="G22" s="7" t="s">
        <v>190</v>
      </c>
      <c r="H22" s="7" t="s">
        <v>191</v>
      </c>
      <c r="I22" s="12" t="s">
        <v>149</v>
      </c>
      <c r="J22" s="9" t="s">
        <v>192</v>
      </c>
    </row>
    <row r="23" spans="1:10" ht="75" customHeight="1" x14ac:dyDescent="0.35">
      <c r="A23" s="9">
        <v>22</v>
      </c>
      <c r="B23" s="9" t="s">
        <v>193</v>
      </c>
      <c r="C23" s="7" t="s">
        <v>58</v>
      </c>
      <c r="D23" s="7" t="s">
        <v>62</v>
      </c>
      <c r="E23" s="7" t="s">
        <v>194</v>
      </c>
      <c r="F23" s="7" t="s">
        <v>195</v>
      </c>
      <c r="G23" s="7" t="s">
        <v>196</v>
      </c>
      <c r="H23" s="7" t="s">
        <v>197</v>
      </c>
      <c r="I23" s="12" t="s">
        <v>94</v>
      </c>
      <c r="J23" s="9"/>
    </row>
    <row r="24" spans="1:10" ht="105" customHeight="1" x14ac:dyDescent="0.35">
      <c r="A24" s="9">
        <v>23</v>
      </c>
      <c r="B24" s="9" t="s">
        <v>198</v>
      </c>
      <c r="C24" s="7" t="s">
        <v>58</v>
      </c>
      <c r="D24" s="7" t="s">
        <v>63</v>
      </c>
      <c r="E24" s="7" t="s">
        <v>199</v>
      </c>
      <c r="F24" s="7" t="s">
        <v>200</v>
      </c>
      <c r="G24" s="7" t="s">
        <v>201</v>
      </c>
      <c r="H24" s="7" t="s">
        <v>202</v>
      </c>
      <c r="I24" s="10" t="s">
        <v>94</v>
      </c>
      <c r="J24" s="9"/>
    </row>
    <row r="25" spans="1:10" ht="150" customHeight="1" x14ac:dyDescent="0.35">
      <c r="A25" s="9">
        <v>24</v>
      </c>
      <c r="B25" s="9" t="s">
        <v>203</v>
      </c>
      <c r="C25" s="7" t="s">
        <v>64</v>
      </c>
      <c r="D25" s="7" t="s">
        <v>65</v>
      </c>
      <c r="E25" s="7" t="s">
        <v>204</v>
      </c>
      <c r="F25" s="7" t="s">
        <v>205</v>
      </c>
      <c r="G25" s="7" t="s">
        <v>206</v>
      </c>
      <c r="H25" s="7" t="s">
        <v>207</v>
      </c>
      <c r="I25" s="10" t="s">
        <v>94</v>
      </c>
      <c r="J25" s="9"/>
    </row>
    <row r="26" spans="1:10" ht="75" customHeight="1" x14ac:dyDescent="0.35">
      <c r="A26" s="9">
        <v>25</v>
      </c>
      <c r="B26" s="9" t="s">
        <v>208</v>
      </c>
      <c r="C26" s="7" t="s">
        <v>64</v>
      </c>
      <c r="D26" s="7" t="s">
        <v>66</v>
      </c>
      <c r="E26" s="7" t="s">
        <v>209</v>
      </c>
      <c r="F26" s="7" t="s">
        <v>97</v>
      </c>
      <c r="G26" s="7" t="s">
        <v>210</v>
      </c>
      <c r="H26" s="7" t="s">
        <v>143</v>
      </c>
      <c r="I26" s="10" t="s">
        <v>94</v>
      </c>
      <c r="J26" s="9"/>
    </row>
    <row r="27" spans="1:10" ht="105" customHeight="1" x14ac:dyDescent="0.35">
      <c r="A27" s="9">
        <v>26</v>
      </c>
      <c r="B27" s="9" t="s">
        <v>211</v>
      </c>
      <c r="C27" s="7" t="s">
        <v>64</v>
      </c>
      <c r="D27" s="7" t="s">
        <v>67</v>
      </c>
      <c r="E27" s="7" t="s">
        <v>212</v>
      </c>
      <c r="F27" s="7" t="s">
        <v>213</v>
      </c>
      <c r="G27" s="7" t="s">
        <v>214</v>
      </c>
      <c r="H27" s="7" t="s">
        <v>215</v>
      </c>
      <c r="I27" s="10" t="s">
        <v>94</v>
      </c>
      <c r="J27" s="9"/>
    </row>
    <row r="28" spans="1:10" ht="105" customHeight="1" x14ac:dyDescent="0.35">
      <c r="A28" s="9">
        <v>27</v>
      </c>
      <c r="B28" s="9" t="s">
        <v>216</v>
      </c>
      <c r="C28" s="7" t="s">
        <v>68</v>
      </c>
      <c r="D28" s="7" t="s">
        <v>69</v>
      </c>
      <c r="E28" s="7" t="s">
        <v>217</v>
      </c>
      <c r="F28" s="7" t="s">
        <v>218</v>
      </c>
      <c r="G28" s="7" t="s">
        <v>219</v>
      </c>
      <c r="H28" s="7" t="s">
        <v>220</v>
      </c>
      <c r="I28" s="10" t="s">
        <v>94</v>
      </c>
      <c r="J28" s="9"/>
    </row>
    <row r="29" spans="1:10" ht="105" customHeight="1" x14ac:dyDescent="0.35">
      <c r="A29" s="9">
        <v>28</v>
      </c>
      <c r="B29" s="9" t="s">
        <v>221</v>
      </c>
      <c r="C29" s="7" t="s">
        <v>68</v>
      </c>
      <c r="D29" s="7" t="s">
        <v>70</v>
      </c>
      <c r="E29" s="7" t="s">
        <v>222</v>
      </c>
      <c r="F29" s="7" t="s">
        <v>200</v>
      </c>
      <c r="G29" s="7" t="s">
        <v>223</v>
      </c>
      <c r="H29" s="7" t="s">
        <v>224</v>
      </c>
      <c r="I29" s="10" t="s">
        <v>94</v>
      </c>
      <c r="J29" s="9"/>
    </row>
    <row r="30" spans="1:10" ht="105" customHeight="1" x14ac:dyDescent="0.35">
      <c r="A30" s="9">
        <v>29</v>
      </c>
      <c r="B30" s="9" t="s">
        <v>225</v>
      </c>
      <c r="C30" s="7" t="s">
        <v>68</v>
      </c>
      <c r="D30" s="7" t="s">
        <v>71</v>
      </c>
      <c r="E30" s="7" t="s">
        <v>226</v>
      </c>
      <c r="F30" s="7" t="s">
        <v>227</v>
      </c>
      <c r="G30" s="7" t="s">
        <v>228</v>
      </c>
      <c r="H30" s="7" t="s">
        <v>229</v>
      </c>
      <c r="I30" s="10" t="s">
        <v>94</v>
      </c>
      <c r="J30" s="9"/>
    </row>
    <row r="31" spans="1:10" ht="105" customHeight="1" x14ac:dyDescent="0.35">
      <c r="A31" s="9">
        <v>30</v>
      </c>
      <c r="B31" s="9" t="s">
        <v>230</v>
      </c>
      <c r="C31" s="7" t="s">
        <v>68</v>
      </c>
      <c r="D31" s="7" t="s">
        <v>72</v>
      </c>
      <c r="E31" s="7" t="s">
        <v>231</v>
      </c>
      <c r="F31" s="7" t="s">
        <v>232</v>
      </c>
      <c r="G31" s="7" t="s">
        <v>233</v>
      </c>
      <c r="H31" s="7" t="s">
        <v>234</v>
      </c>
      <c r="I31" s="12" t="s">
        <v>149</v>
      </c>
      <c r="J31" s="9" t="s">
        <v>235</v>
      </c>
    </row>
    <row r="32" spans="1:10" ht="75" customHeight="1" x14ac:dyDescent="0.35">
      <c r="A32" s="9">
        <v>31</v>
      </c>
      <c r="B32" s="9" t="s">
        <v>236</v>
      </c>
      <c r="C32" s="7" t="s">
        <v>73</v>
      </c>
      <c r="D32" s="7" t="s">
        <v>74</v>
      </c>
      <c r="E32" s="7" t="s">
        <v>237</v>
      </c>
      <c r="F32" s="7" t="s">
        <v>238</v>
      </c>
      <c r="G32" s="7" t="s">
        <v>239</v>
      </c>
      <c r="H32" s="7" t="s">
        <v>240</v>
      </c>
      <c r="I32" s="10" t="s">
        <v>94</v>
      </c>
      <c r="J32" s="9"/>
    </row>
    <row r="33" spans="1:10" ht="75" customHeight="1" x14ac:dyDescent="0.35">
      <c r="A33" s="9">
        <v>32</v>
      </c>
      <c r="B33" s="9" t="s">
        <v>241</v>
      </c>
      <c r="C33" s="7" t="s">
        <v>73</v>
      </c>
      <c r="D33" s="7" t="s">
        <v>75</v>
      </c>
      <c r="E33" s="7" t="s">
        <v>242</v>
      </c>
      <c r="F33" s="7" t="s">
        <v>243</v>
      </c>
      <c r="G33" s="7" t="s">
        <v>142</v>
      </c>
      <c r="H33" s="7" t="s">
        <v>143</v>
      </c>
      <c r="I33" s="10" t="s">
        <v>94</v>
      </c>
      <c r="J33" s="9"/>
    </row>
    <row r="34" spans="1:10" ht="105" customHeight="1" x14ac:dyDescent="0.35">
      <c r="A34" s="9">
        <v>33</v>
      </c>
      <c r="B34" s="9" t="s">
        <v>244</v>
      </c>
      <c r="C34" s="7" t="s">
        <v>76</v>
      </c>
      <c r="D34" s="7" t="s">
        <v>77</v>
      </c>
      <c r="E34" s="7" t="s">
        <v>245</v>
      </c>
      <c r="F34" s="7" t="s">
        <v>246</v>
      </c>
      <c r="G34" s="7" t="s">
        <v>247</v>
      </c>
      <c r="H34" s="7" t="s">
        <v>248</v>
      </c>
      <c r="I34" s="10" t="s">
        <v>94</v>
      </c>
      <c r="J34" s="9"/>
    </row>
    <row r="35" spans="1:10" ht="75" customHeight="1" x14ac:dyDescent="0.35">
      <c r="A35" s="9">
        <v>34</v>
      </c>
      <c r="B35" s="9" t="s">
        <v>249</v>
      </c>
      <c r="C35" s="7" t="s">
        <v>76</v>
      </c>
      <c r="D35" s="7" t="s">
        <v>78</v>
      </c>
      <c r="E35" s="7" t="s">
        <v>250</v>
      </c>
      <c r="F35" s="7" t="s">
        <v>251</v>
      </c>
      <c r="G35" s="7" t="s">
        <v>252</v>
      </c>
      <c r="H35" s="7" t="s">
        <v>253</v>
      </c>
      <c r="I35" s="12" t="s">
        <v>94</v>
      </c>
      <c r="J35" s="9"/>
    </row>
    <row r="36" spans="1:10" ht="75" customHeight="1" x14ac:dyDescent="0.35">
      <c r="A36" s="9">
        <v>35</v>
      </c>
      <c r="B36" s="9" t="s">
        <v>254</v>
      </c>
      <c r="C36" s="7" t="s">
        <v>79</v>
      </c>
      <c r="D36" s="7" t="s">
        <v>80</v>
      </c>
      <c r="E36" s="7" t="s">
        <v>255</v>
      </c>
      <c r="F36" s="7" t="s">
        <v>117</v>
      </c>
      <c r="G36" s="7" t="s">
        <v>256</v>
      </c>
      <c r="H36" s="7" t="s">
        <v>257</v>
      </c>
      <c r="I36" s="10" t="s">
        <v>94</v>
      </c>
      <c r="J36" s="9"/>
    </row>
    <row r="37" spans="1:10" ht="75" customHeight="1" x14ac:dyDescent="0.35">
      <c r="A37" s="9">
        <v>36</v>
      </c>
      <c r="B37" s="9" t="s">
        <v>258</v>
      </c>
      <c r="C37" s="7" t="s">
        <v>79</v>
      </c>
      <c r="D37" s="7" t="s">
        <v>81</v>
      </c>
      <c r="E37" s="7" t="s">
        <v>259</v>
      </c>
      <c r="F37" s="7" t="s">
        <v>117</v>
      </c>
      <c r="G37" s="7" t="s">
        <v>260</v>
      </c>
      <c r="H37" s="7" t="s">
        <v>261</v>
      </c>
      <c r="I37" s="10" t="s">
        <v>94</v>
      </c>
      <c r="J37" s="9"/>
    </row>
  </sheetData>
  <autoFilter ref="A1:J37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topLeftCell="H1" workbookViewId="0">
      <selection activeCell="A15" sqref="A15"/>
    </sheetView>
  </sheetViews>
  <sheetFormatPr defaultColWidth="8.6328125" defaultRowHeight="14.5" x14ac:dyDescent="0.35"/>
  <cols>
    <col min="1" max="1" width="12" customWidth="1"/>
    <col min="2" max="2" width="15" customWidth="1"/>
    <col min="3" max="3" width="20" customWidth="1"/>
    <col min="4" max="4" width="50" customWidth="1"/>
    <col min="5" max="7" width="12" customWidth="1"/>
    <col min="8" max="10" width="50" customWidth="1"/>
  </cols>
  <sheetData>
    <row r="1" spans="1:10" x14ac:dyDescent="0.35">
      <c r="A1" s="13" t="s">
        <v>88</v>
      </c>
      <c r="B1" s="13" t="s">
        <v>82</v>
      </c>
      <c r="C1" s="13" t="s">
        <v>33</v>
      </c>
      <c r="D1" s="13" t="s">
        <v>262</v>
      </c>
      <c r="E1" s="13" t="s">
        <v>263</v>
      </c>
      <c r="F1" s="13" t="s">
        <v>264</v>
      </c>
      <c r="G1" s="13" t="s">
        <v>87</v>
      </c>
      <c r="H1" s="13" t="s">
        <v>265</v>
      </c>
      <c r="I1" s="13" t="s">
        <v>85</v>
      </c>
      <c r="J1" s="13" t="s">
        <v>86</v>
      </c>
    </row>
    <row r="2" spans="1:10" x14ac:dyDescent="0.35">
      <c r="A2" s="14" t="s">
        <v>150</v>
      </c>
      <c r="B2" s="14" t="s">
        <v>144</v>
      </c>
      <c r="C2" s="14" t="s">
        <v>48</v>
      </c>
      <c r="D2" s="14" t="s">
        <v>266</v>
      </c>
      <c r="E2" s="14" t="s">
        <v>267</v>
      </c>
      <c r="F2" s="14" t="s">
        <v>267</v>
      </c>
      <c r="G2" s="14" t="s">
        <v>268</v>
      </c>
      <c r="H2" s="14" t="s">
        <v>269</v>
      </c>
      <c r="I2" s="14" t="s">
        <v>270</v>
      </c>
      <c r="J2" s="14" t="s">
        <v>271</v>
      </c>
    </row>
    <row r="3" spans="1:10" x14ac:dyDescent="0.35">
      <c r="A3" s="14" t="s">
        <v>155</v>
      </c>
      <c r="B3" s="14" t="s">
        <v>151</v>
      </c>
      <c r="C3" s="14" t="s">
        <v>48</v>
      </c>
      <c r="D3" s="14" t="s">
        <v>272</v>
      </c>
      <c r="E3" s="14" t="s">
        <v>273</v>
      </c>
      <c r="F3" s="14" t="s">
        <v>273</v>
      </c>
      <c r="G3" s="14" t="s">
        <v>268</v>
      </c>
      <c r="H3" s="14" t="s">
        <v>274</v>
      </c>
      <c r="I3" s="14" t="s">
        <v>275</v>
      </c>
      <c r="J3" s="14" t="s">
        <v>276</v>
      </c>
    </row>
    <row r="4" spans="1:10" x14ac:dyDescent="0.35">
      <c r="A4" s="14" t="s">
        <v>192</v>
      </c>
      <c r="B4" s="14" t="s">
        <v>187</v>
      </c>
      <c r="C4" s="14" t="s">
        <v>58</v>
      </c>
      <c r="D4" s="14" t="s">
        <v>277</v>
      </c>
      <c r="E4" s="14" t="s">
        <v>273</v>
      </c>
      <c r="F4" s="14" t="s">
        <v>267</v>
      </c>
      <c r="G4" s="14" t="s">
        <v>268</v>
      </c>
      <c r="H4" s="14" t="s">
        <v>278</v>
      </c>
      <c r="I4" s="14" t="s">
        <v>279</v>
      </c>
      <c r="J4" s="14" t="s">
        <v>280</v>
      </c>
    </row>
    <row r="5" spans="1:10" x14ac:dyDescent="0.35">
      <c r="A5" s="14" t="s">
        <v>235</v>
      </c>
      <c r="B5" s="14" t="s">
        <v>230</v>
      </c>
      <c r="C5" s="14" t="s">
        <v>68</v>
      </c>
      <c r="D5" s="14" t="s">
        <v>281</v>
      </c>
      <c r="E5" s="14" t="s">
        <v>267</v>
      </c>
      <c r="F5" s="14" t="s">
        <v>267</v>
      </c>
      <c r="G5" s="14" t="s">
        <v>268</v>
      </c>
      <c r="H5" s="14" t="s">
        <v>282</v>
      </c>
      <c r="I5" s="14" t="s">
        <v>283</v>
      </c>
      <c r="J5" s="14" t="s">
        <v>284</v>
      </c>
    </row>
    <row r="6" spans="1:10" ht="31.5" customHeight="1" x14ac:dyDescent="0.35"/>
    <row r="7" spans="1:10" ht="75" customHeight="1" x14ac:dyDescent="0.35"/>
    <row r="8" spans="1:10" ht="31.5" customHeight="1" x14ac:dyDescent="0.35"/>
    <row r="9" spans="1:10" ht="48" customHeight="1" x14ac:dyDescent="0.35"/>
    <row r="15" spans="1:10" ht="61.5" customHeight="1" x14ac:dyDescent="0.35"/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workbookViewId="0"/>
  </sheetViews>
  <sheetFormatPr defaultColWidth="8.6328125" defaultRowHeight="14.5" x14ac:dyDescent="0.35"/>
  <cols>
    <col min="1" max="5" width="50" customWidth="1"/>
    <col min="6" max="6" width="30" customWidth="1"/>
  </cols>
  <sheetData>
    <row r="1" spans="1:6" ht="21" x14ac:dyDescent="0.5">
      <c r="A1" s="15" t="s">
        <v>285</v>
      </c>
    </row>
    <row r="2" spans="1:6" x14ac:dyDescent="0.35">
      <c r="A2" s="16" t="s">
        <v>286</v>
      </c>
    </row>
    <row r="4" spans="1:6" x14ac:dyDescent="0.35">
      <c r="A4" s="13" t="s">
        <v>287</v>
      </c>
      <c r="B4" s="13" t="s">
        <v>288</v>
      </c>
      <c r="C4" s="13" t="s">
        <v>289</v>
      </c>
      <c r="D4" s="13" t="s">
        <v>290</v>
      </c>
      <c r="E4" s="13" t="s">
        <v>291</v>
      </c>
      <c r="F4" s="13" t="s">
        <v>292</v>
      </c>
    </row>
    <row r="5" spans="1:6" ht="15.5" x14ac:dyDescent="0.35">
      <c r="A5" s="17">
        <f>COUNTA(TestCase!B2:B37)</f>
        <v>36</v>
      </c>
      <c r="B5" s="17">
        <f>COUNTIF(TestCase!I2:I37,"Pass")+COUNTIF(TestCase!I2:I37,"Fail")</f>
        <v>36</v>
      </c>
      <c r="C5" s="17">
        <f>COUNTIF(TestCase!I2:I37,"Pass")</f>
        <v>32</v>
      </c>
      <c r="D5" s="17">
        <f>COUNTIF(TestCase!I2:I37,"Fail")</f>
        <v>4</v>
      </c>
      <c r="E5" s="18">
        <f>C5/B5</f>
        <v>0.88888888888888884</v>
      </c>
      <c r="F5" s="17">
        <f>COUNTA(DefectReport!A2:A5)</f>
        <v>4</v>
      </c>
    </row>
    <row r="7" spans="1:6" ht="17" x14ac:dyDescent="0.4">
      <c r="A7" s="19" t="s">
        <v>293</v>
      </c>
    </row>
    <row r="8" spans="1:6" x14ac:dyDescent="0.35">
      <c r="A8" s="20" t="s">
        <v>294</v>
      </c>
      <c r="B8" s="13" t="s">
        <v>287</v>
      </c>
      <c r="C8" s="13" t="s">
        <v>288</v>
      </c>
      <c r="D8" s="13" t="s">
        <v>289</v>
      </c>
      <c r="E8" s="13" t="s">
        <v>290</v>
      </c>
      <c r="F8" s="13" t="s">
        <v>295</v>
      </c>
    </row>
    <row r="9" spans="1:6" x14ac:dyDescent="0.35">
      <c r="A9" s="21" t="s">
        <v>35</v>
      </c>
      <c r="B9" s="22">
        <f>COUNTIF(TestCase!$C$2:$C$37, "Registration")</f>
        <v>5</v>
      </c>
      <c r="C9" s="22">
        <f>COUNTIFS(TestCase!$C$2:$C$37, "Registration", TestCase!$I$2:$I$37, "Pass") + COUNTIFS(TestCase!$C$2:$C$37, "Registration", TestCase!$I$2:$I$37, "Fail")</f>
        <v>5</v>
      </c>
      <c r="D9" s="22">
        <f>COUNTIFS(TestCase!$C$2:$C$37, "Registration", TestCase!$I$2:$I$37, "Pass")</f>
        <v>5</v>
      </c>
      <c r="E9" s="22">
        <f>COUNTIFS(TestCase!$C$2:$C$37, "Registration", TestCase!$I$2:$I$37, "Fail")</f>
        <v>0</v>
      </c>
      <c r="F9" s="23">
        <f t="shared" ref="F9:F19" si="0">IF(C9&gt;0, D9/C9, 0)</f>
        <v>1</v>
      </c>
    </row>
    <row r="10" spans="1:6" x14ac:dyDescent="0.35">
      <c r="A10" s="21" t="s">
        <v>41</v>
      </c>
      <c r="B10" s="22">
        <f>COUNTIF(TestCase!$C$2:$C$37, "Login")</f>
        <v>6</v>
      </c>
      <c r="C10" s="22">
        <f>COUNTIFS(TestCase!$C$2:$C$37, "Login", TestCase!$I$2:$I$37, "Pass") + COUNTIFS(TestCase!$C$2:$C$37, "Login", TestCase!$I$2:$I$37, "Fail")</f>
        <v>6</v>
      </c>
      <c r="D10" s="22">
        <f>COUNTIFS(TestCase!$C$2:$C$37, "Login", TestCase!$I$2:$I$37, "Pass")</f>
        <v>6</v>
      </c>
      <c r="E10" s="22">
        <f>COUNTIFS(TestCase!$C$2:$C$37, "Login", TestCase!$I$2:$I$37, "Fail")</f>
        <v>0</v>
      </c>
      <c r="F10" s="23">
        <f t="shared" si="0"/>
        <v>1</v>
      </c>
    </row>
    <row r="11" spans="1:6" x14ac:dyDescent="0.35">
      <c r="A11" s="21" t="s">
        <v>48</v>
      </c>
      <c r="B11" s="22">
        <f>COUNTIF(TestCase!$C$2:$C$37, "Security")</f>
        <v>2</v>
      </c>
      <c r="C11" s="22">
        <f>COUNTIFS(TestCase!$C$2:$C$37, "Security", TestCase!$I$2:$I$37, "Pass") + COUNTIFS(TestCase!$C$2:$C$37, "Security", TestCase!$I$2:$I$37, "Fail")</f>
        <v>2</v>
      </c>
      <c r="D11" s="22">
        <f>COUNTIFS(TestCase!$C$2:$C$37, "Security", TestCase!$I$2:$I$37, "Pass")</f>
        <v>0</v>
      </c>
      <c r="E11" s="22">
        <f>COUNTIFS(TestCase!$C$2:$C$37, "Security", TestCase!$I$2:$I$37, "Fail")</f>
        <v>2</v>
      </c>
      <c r="F11" s="23">
        <f t="shared" si="0"/>
        <v>0</v>
      </c>
    </row>
    <row r="12" spans="1:6" x14ac:dyDescent="0.35">
      <c r="A12" s="21" t="s">
        <v>51</v>
      </c>
      <c r="B12" s="22">
        <f>COUNTIF(TestCase!$C$2:$C$37, "Accounts Overview")</f>
        <v>2</v>
      </c>
      <c r="C12" s="22">
        <f>COUNTIFS(TestCase!$C$2:$C$37, "Accounts Overview", TestCase!$I$2:$I$37, "Pass") + COUNTIFS(TestCase!$C$2:$C$37, "Accounts Overview", TestCase!$I$2:$I$37, "Fail")</f>
        <v>2</v>
      </c>
      <c r="D12" s="22">
        <f>COUNTIFS(TestCase!$C$2:$C$37, "Accounts Overview", TestCase!$I$2:$I$37, "Pass")</f>
        <v>2</v>
      </c>
      <c r="E12" s="22">
        <f>COUNTIFS(TestCase!$C$2:$C$37, "Accounts Overview", TestCase!$I$2:$I$37, "Fail")</f>
        <v>0</v>
      </c>
      <c r="F12" s="23">
        <f t="shared" si="0"/>
        <v>1</v>
      </c>
    </row>
    <row r="13" spans="1:6" x14ac:dyDescent="0.35">
      <c r="A13" s="21" t="s">
        <v>54</v>
      </c>
      <c r="B13" s="22">
        <f>COUNTIF(TestCase!$C$2:$C$37, "Open New Account")</f>
        <v>3</v>
      </c>
      <c r="C13" s="22">
        <f>COUNTIFS(TestCase!$C$2:$C$37, "Open New Account", TestCase!$I$2:$I$37, "Pass") + COUNTIFS(TestCase!$C$2:$C$37, "Open New Account", TestCase!$I$2:$I$37, "Fail")</f>
        <v>3</v>
      </c>
      <c r="D13" s="22">
        <f>COUNTIFS(TestCase!$C$2:$C$37, "Open New Account", TestCase!$I$2:$I$37, "Pass")</f>
        <v>3</v>
      </c>
      <c r="E13" s="22">
        <f>COUNTIFS(TestCase!$C$2:$C$37, "Open New Account", TestCase!$I$2:$I$37, "Fail")</f>
        <v>0</v>
      </c>
      <c r="F13" s="23">
        <f t="shared" si="0"/>
        <v>1</v>
      </c>
    </row>
    <row r="14" spans="1:6" x14ac:dyDescent="0.35">
      <c r="A14" s="21" t="s">
        <v>58</v>
      </c>
      <c r="B14" s="22">
        <f>COUNTIF(TestCase!$C$2:$C$37, "Transfer Funds")</f>
        <v>5</v>
      </c>
      <c r="C14" s="22">
        <f>COUNTIFS(TestCase!$C$2:$C$37, "Transfer Funds", TestCase!$I$2:$I$37, "Pass") + COUNTIFS(TestCase!$C$2:$C$37, "Transfer Funds", TestCase!$I$2:$I$37, "Fail")</f>
        <v>5</v>
      </c>
      <c r="D14" s="22">
        <f>COUNTIFS(TestCase!$C$2:$C$37, "Transfer Funds", TestCase!$I$2:$I$37, "Pass")</f>
        <v>4</v>
      </c>
      <c r="E14" s="22">
        <f>COUNTIFS(TestCase!$C$2:$C$37, "Transfer Funds", TestCase!$I$2:$I$37, "Fail")</f>
        <v>1</v>
      </c>
      <c r="F14" s="23">
        <f t="shared" si="0"/>
        <v>0.8</v>
      </c>
    </row>
    <row r="15" spans="1:6" x14ac:dyDescent="0.35">
      <c r="A15" s="21" t="s">
        <v>64</v>
      </c>
      <c r="B15" s="22">
        <f>COUNTIF(TestCase!$C$2:$C$37, "Bill Pay")</f>
        <v>3</v>
      </c>
      <c r="C15" s="22">
        <f>COUNTIFS(TestCase!$C$2:$C$37, "Bill Pay", TestCase!$I$2:$I$37, "Pass") + COUNTIFS(TestCase!$C$2:$C$37, "Bill Pay", TestCase!$I$2:$I$37, "Fail")</f>
        <v>3</v>
      </c>
      <c r="D15" s="22">
        <f>COUNTIFS(TestCase!$C$2:$C$37, "Bill Pay", TestCase!$I$2:$I$37, "Pass")</f>
        <v>3</v>
      </c>
      <c r="E15" s="22">
        <f>COUNTIFS(TestCase!$C$2:$C$37, "Bill Pay", TestCase!$I$2:$I$37, "Fail")</f>
        <v>0</v>
      </c>
      <c r="F15" s="23">
        <f t="shared" si="0"/>
        <v>1</v>
      </c>
    </row>
    <row r="16" spans="1:6" x14ac:dyDescent="0.35">
      <c r="A16" s="21" t="s">
        <v>68</v>
      </c>
      <c r="B16" s="22">
        <f>COUNTIF(TestCase!$C$2:$C$37, "Find Transactions")</f>
        <v>4</v>
      </c>
      <c r="C16" s="22">
        <f>COUNTIFS(TestCase!$C$2:$C$37, "Find Transactions", TestCase!$I$2:$I$37, "Pass") + COUNTIFS(TestCase!$C$2:$C$37, "Find Transactions", TestCase!$I$2:$I$37, "Fail")</f>
        <v>4</v>
      </c>
      <c r="D16" s="22">
        <f>COUNTIFS(TestCase!$C$2:$C$37, "Find Transactions", TestCase!$I$2:$I$37, "Pass")</f>
        <v>3</v>
      </c>
      <c r="E16" s="22">
        <f>COUNTIFS(TestCase!$C$2:$C$37, "Find Transactions", TestCase!$I$2:$I$37, "Fail")</f>
        <v>1</v>
      </c>
      <c r="F16" s="23">
        <f t="shared" si="0"/>
        <v>0.75</v>
      </c>
    </row>
    <row r="17" spans="1:6" x14ac:dyDescent="0.35">
      <c r="A17" s="21" t="s">
        <v>73</v>
      </c>
      <c r="B17" s="22">
        <f>COUNTIF(TestCase!$C$2:$C$37, "Update Contact Info")</f>
        <v>2</v>
      </c>
      <c r="C17" s="22">
        <f>COUNTIFS(TestCase!$C$2:$C$37, "Update Contact Info", TestCase!$I$2:$I$37, "Pass") + COUNTIFS(TestCase!$C$2:$C$37, "Update Contact Info", TestCase!$I$2:$I$37, "Fail")</f>
        <v>2</v>
      </c>
      <c r="D17" s="22">
        <f>COUNTIFS(TestCase!$C$2:$C$37, "Update Contact Info", TestCase!$I$2:$I$37, "Pass")</f>
        <v>2</v>
      </c>
      <c r="E17" s="22">
        <f>COUNTIFS(TestCase!$C$2:$C$37, "Update Contact Info", TestCase!$I$2:$I$37, "Fail")</f>
        <v>0</v>
      </c>
      <c r="F17" s="23">
        <f t="shared" si="0"/>
        <v>1</v>
      </c>
    </row>
    <row r="18" spans="1:6" x14ac:dyDescent="0.35">
      <c r="A18" s="21" t="s">
        <v>76</v>
      </c>
      <c r="B18" s="22">
        <f>COUNTIF(TestCase!$C$2:$C$37, "Request Loan")</f>
        <v>2</v>
      </c>
      <c r="C18" s="22">
        <f>COUNTIFS(TestCase!$C$2:$C$37, "Request Loan", TestCase!$I$2:$I$37, "Pass") + COUNTIFS(TestCase!$C$2:$C$37, "Request Loan", TestCase!$I$2:$I$37, "Fail")</f>
        <v>2</v>
      </c>
      <c r="D18" s="22">
        <f>COUNTIFS(TestCase!$C$2:$C$37, "Request Loan", TestCase!$I$2:$I$37, "Pass")</f>
        <v>2</v>
      </c>
      <c r="E18" s="22">
        <f>COUNTIFS(TestCase!$C$2:$C$37, "Request Loan", TestCase!$I$2:$I$37, "Fail")</f>
        <v>0</v>
      </c>
      <c r="F18" s="23">
        <f t="shared" si="0"/>
        <v>1</v>
      </c>
    </row>
    <row r="19" spans="1:6" x14ac:dyDescent="0.35">
      <c r="A19" s="21" t="s">
        <v>79</v>
      </c>
      <c r="B19" s="22">
        <f>COUNTIF(TestCase!$C$2:$C$37, "Logout")</f>
        <v>2</v>
      </c>
      <c r="C19" s="22">
        <f>COUNTIFS(TestCase!$C$2:$C$37, "Logout", TestCase!$I$2:$I$37, "Pass") + COUNTIFS(TestCase!$C$2:$C$37, "Logout", TestCase!$I$2:$I$37, "Fail")</f>
        <v>2</v>
      </c>
      <c r="D19" s="22">
        <f>COUNTIFS(TestCase!$C$2:$C$37, "Logout", TestCase!$I$2:$I$37, "Pass")</f>
        <v>2</v>
      </c>
      <c r="E19" s="22">
        <f>COUNTIFS(TestCase!$C$2:$C$37, "Logout", TestCase!$I$2:$I$37, "Fail")</f>
        <v>0</v>
      </c>
      <c r="F19" s="23">
        <f t="shared" si="0"/>
        <v>1</v>
      </c>
    </row>
    <row r="20" spans="1:6" x14ac:dyDescent="0.35">
      <c r="A20" s="24" t="s">
        <v>296</v>
      </c>
      <c r="B20" s="25">
        <f>SUM(B9:B19)</f>
        <v>36</v>
      </c>
      <c r="C20" s="25">
        <f>SUM(C9:C19)</f>
        <v>36</v>
      </c>
      <c r="D20" s="25">
        <f>SUM(D9:D19)</f>
        <v>32</v>
      </c>
      <c r="E20" s="25">
        <f>SUM(E9:E19)</f>
        <v>4</v>
      </c>
      <c r="F20" s="26">
        <f>D20/C20</f>
        <v>0.88888888888888884</v>
      </c>
    </row>
    <row r="22" spans="1:6" ht="17" x14ac:dyDescent="0.4">
      <c r="A22" s="19" t="s">
        <v>297</v>
      </c>
    </row>
    <row r="23" spans="1:6" x14ac:dyDescent="0.35">
      <c r="A23" s="27" t="s">
        <v>263</v>
      </c>
      <c r="B23" s="28" t="s">
        <v>298</v>
      </c>
      <c r="D23" s="27" t="s">
        <v>264</v>
      </c>
      <c r="E23" s="28" t="s">
        <v>298</v>
      </c>
    </row>
    <row r="24" spans="1:6" x14ac:dyDescent="0.35">
      <c r="A24" s="21" t="s">
        <v>273</v>
      </c>
      <c r="B24" s="22">
        <f>COUNTIF(DefectReport!$E$2:$E$5, "High")</f>
        <v>2</v>
      </c>
      <c r="D24" s="21" t="s">
        <v>273</v>
      </c>
      <c r="E24" s="22">
        <f>COUNTIF(DefectReport!$F$2:$F$5, "High")</f>
        <v>1</v>
      </c>
    </row>
    <row r="25" spans="1:6" x14ac:dyDescent="0.35">
      <c r="A25" s="21" t="s">
        <v>267</v>
      </c>
      <c r="B25" s="22">
        <f>COUNTIF(DefectReport!$E$2:$E$5, "Medium")</f>
        <v>2</v>
      </c>
      <c r="D25" s="21" t="s">
        <v>267</v>
      </c>
      <c r="E25" s="22">
        <f>COUNTIF(DefectReport!$F$2:$F$5, "Medium")</f>
        <v>3</v>
      </c>
    </row>
    <row r="26" spans="1:6" x14ac:dyDescent="0.35">
      <c r="A26" s="21" t="s">
        <v>299</v>
      </c>
      <c r="B26" s="22">
        <f>COUNTIF(DefectReport!$E$2:$E$5, "Low")</f>
        <v>0</v>
      </c>
      <c r="D26" s="21" t="s">
        <v>299</v>
      </c>
      <c r="E26" s="22">
        <f>COUNTIF(DefectReport!$F$2:$F$5, "Low")</f>
        <v>0</v>
      </c>
    </row>
    <row r="27" spans="1:6" x14ac:dyDescent="0.35">
      <c r="A27" s="24" t="s">
        <v>300</v>
      </c>
      <c r="B27" s="25">
        <f>SUM(B24:B26)</f>
        <v>4</v>
      </c>
      <c r="D27" s="24" t="s">
        <v>300</v>
      </c>
      <c r="E27" s="25">
        <f>SUM(E24:E26)</f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6"/>
  <sheetViews>
    <sheetView workbookViewId="0">
      <selection activeCell="A2" sqref="A2:G2"/>
    </sheetView>
  </sheetViews>
  <sheetFormatPr defaultColWidth="8.6328125" defaultRowHeight="14.5" x14ac:dyDescent="0.35"/>
  <cols>
    <col min="1" max="2" width="50" customWidth="1"/>
    <col min="3" max="3" width="26" customWidth="1"/>
    <col min="4" max="4" width="19" customWidth="1"/>
    <col min="5" max="5" width="15" customWidth="1"/>
    <col min="6" max="6" width="50" customWidth="1"/>
    <col min="7" max="7" width="19" customWidth="1"/>
  </cols>
  <sheetData>
    <row r="1" spans="1:7" ht="30" customHeight="1" x14ac:dyDescent="0.35">
      <c r="A1" s="31" t="s">
        <v>301</v>
      </c>
      <c r="B1" s="30"/>
      <c r="C1" s="30"/>
      <c r="D1" s="30"/>
      <c r="E1" s="30"/>
      <c r="F1" s="30"/>
      <c r="G1" s="30"/>
    </row>
    <row r="2" spans="1:7" ht="15" customHeight="1" x14ac:dyDescent="0.35">
      <c r="A2" s="34" t="s">
        <v>302</v>
      </c>
      <c r="B2" s="30"/>
      <c r="C2" s="30"/>
      <c r="D2" s="30"/>
      <c r="E2" s="30"/>
      <c r="F2" s="30"/>
      <c r="G2" s="30"/>
    </row>
    <row r="3" spans="1:7" ht="6" customHeight="1" x14ac:dyDescent="0.35"/>
    <row r="4" spans="1:7" ht="21.75" customHeight="1" x14ac:dyDescent="0.35">
      <c r="A4" s="1" t="s">
        <v>303</v>
      </c>
      <c r="B4" s="1" t="s">
        <v>304</v>
      </c>
      <c r="C4" s="1" t="s">
        <v>33</v>
      </c>
      <c r="D4" s="1" t="s">
        <v>305</v>
      </c>
      <c r="E4" s="1" t="s">
        <v>82</v>
      </c>
      <c r="F4" s="1" t="s">
        <v>306</v>
      </c>
      <c r="G4" s="1" t="s">
        <v>307</v>
      </c>
    </row>
    <row r="5" spans="1:7" ht="30" customHeight="1" x14ac:dyDescent="0.35">
      <c r="A5" s="2" t="s">
        <v>308</v>
      </c>
      <c r="B5" s="3" t="s">
        <v>309</v>
      </c>
      <c r="C5" s="2" t="s">
        <v>35</v>
      </c>
      <c r="D5" s="2" t="s">
        <v>310</v>
      </c>
      <c r="E5" s="2" t="s">
        <v>89</v>
      </c>
      <c r="F5" s="3" t="s">
        <v>311</v>
      </c>
      <c r="G5" s="4" t="str">
        <f>TestCase!I2</f>
        <v>Pass</v>
      </c>
    </row>
    <row r="6" spans="1:7" ht="30" customHeight="1" x14ac:dyDescent="0.35">
      <c r="A6" s="2" t="s">
        <v>312</v>
      </c>
      <c r="B6" s="3" t="s">
        <v>313</v>
      </c>
      <c r="C6" s="2" t="s">
        <v>35</v>
      </c>
      <c r="D6" s="2" t="s">
        <v>314</v>
      </c>
      <c r="E6" s="2" t="s">
        <v>95</v>
      </c>
      <c r="F6" s="3" t="s">
        <v>315</v>
      </c>
      <c r="G6" s="4" t="str">
        <f>TestCase!I3</f>
        <v>Pass</v>
      </c>
    </row>
    <row r="7" spans="1:7" ht="30" customHeight="1" x14ac:dyDescent="0.35">
      <c r="A7" s="2" t="s">
        <v>316</v>
      </c>
      <c r="B7" s="3" t="s">
        <v>317</v>
      </c>
      <c r="C7" s="2" t="s">
        <v>35</v>
      </c>
      <c r="D7" s="2" t="s">
        <v>318</v>
      </c>
      <c r="E7" s="2" t="s">
        <v>100</v>
      </c>
      <c r="F7" s="3" t="s">
        <v>319</v>
      </c>
      <c r="G7" s="4" t="str">
        <f>TestCase!I4</f>
        <v>Pass</v>
      </c>
    </row>
    <row r="8" spans="1:7" ht="30" customHeight="1" x14ac:dyDescent="0.35">
      <c r="A8" s="2" t="s">
        <v>320</v>
      </c>
      <c r="B8" s="3" t="s">
        <v>321</v>
      </c>
      <c r="C8" s="2" t="s">
        <v>35</v>
      </c>
      <c r="D8" s="2" t="s">
        <v>322</v>
      </c>
      <c r="E8" s="2" t="s">
        <v>105</v>
      </c>
      <c r="F8" s="3" t="s">
        <v>323</v>
      </c>
      <c r="G8" s="4" t="str">
        <f>TestCase!I5</f>
        <v>Pass</v>
      </c>
    </row>
    <row r="9" spans="1:7" ht="30" customHeight="1" x14ac:dyDescent="0.35">
      <c r="A9" s="2" t="s">
        <v>312</v>
      </c>
      <c r="B9" s="3" t="s">
        <v>313</v>
      </c>
      <c r="C9" s="2" t="s">
        <v>35</v>
      </c>
      <c r="D9" s="2" t="s">
        <v>324</v>
      </c>
      <c r="E9" s="2" t="s">
        <v>110</v>
      </c>
      <c r="F9" s="3" t="s">
        <v>325</v>
      </c>
      <c r="G9" s="4" t="str">
        <f>TestCase!I6</f>
        <v>Pass</v>
      </c>
    </row>
    <row r="10" spans="1:7" ht="30" customHeight="1" x14ac:dyDescent="0.35">
      <c r="A10" s="2" t="s">
        <v>326</v>
      </c>
      <c r="B10" s="3" t="s">
        <v>327</v>
      </c>
      <c r="C10" s="2" t="s">
        <v>41</v>
      </c>
      <c r="D10" s="2" t="s">
        <v>328</v>
      </c>
      <c r="E10" s="2" t="s">
        <v>115</v>
      </c>
      <c r="F10" s="3" t="s">
        <v>329</v>
      </c>
      <c r="G10" s="4" t="str">
        <f>TestCase!I7</f>
        <v>Pass</v>
      </c>
    </row>
    <row r="11" spans="1:7" ht="30" customHeight="1" x14ac:dyDescent="0.35">
      <c r="A11" s="2" t="s">
        <v>330</v>
      </c>
      <c r="B11" s="3" t="s">
        <v>331</v>
      </c>
      <c r="C11" s="2" t="s">
        <v>41</v>
      </c>
      <c r="D11" s="2" t="s">
        <v>332</v>
      </c>
      <c r="E11" s="2" t="s">
        <v>120</v>
      </c>
      <c r="F11" s="3" t="s">
        <v>333</v>
      </c>
      <c r="G11" s="4" t="str">
        <f>TestCase!I8</f>
        <v>Pass</v>
      </c>
    </row>
    <row r="12" spans="1:7" ht="30" customHeight="1" x14ac:dyDescent="0.35">
      <c r="A12" s="2" t="s">
        <v>334</v>
      </c>
      <c r="B12" s="3" t="s">
        <v>335</v>
      </c>
      <c r="C12" s="2" t="s">
        <v>41</v>
      </c>
      <c r="D12" s="2" t="s">
        <v>336</v>
      </c>
      <c r="E12" s="2" t="s">
        <v>125</v>
      </c>
      <c r="F12" s="3" t="s">
        <v>337</v>
      </c>
      <c r="G12" s="4" t="str">
        <f>TestCase!I9</f>
        <v>Pass</v>
      </c>
    </row>
    <row r="13" spans="1:7" ht="30" customHeight="1" x14ac:dyDescent="0.35">
      <c r="A13" s="2" t="s">
        <v>338</v>
      </c>
      <c r="B13" s="3" t="s">
        <v>339</v>
      </c>
      <c r="C13" s="2" t="s">
        <v>41</v>
      </c>
      <c r="D13" s="2" t="s">
        <v>340</v>
      </c>
      <c r="E13" s="2" t="s">
        <v>130</v>
      </c>
      <c r="F13" s="3" t="s">
        <v>341</v>
      </c>
      <c r="G13" s="4" t="str">
        <f>TestCase!I10</f>
        <v>Pass</v>
      </c>
    </row>
    <row r="14" spans="1:7" ht="30" customHeight="1" x14ac:dyDescent="0.35">
      <c r="A14" s="2" t="s">
        <v>342</v>
      </c>
      <c r="B14" s="3" t="s">
        <v>343</v>
      </c>
      <c r="C14" s="2" t="s">
        <v>41</v>
      </c>
      <c r="D14" s="2" t="s">
        <v>344</v>
      </c>
      <c r="E14" s="2" t="s">
        <v>135</v>
      </c>
      <c r="F14" s="3" t="s">
        <v>345</v>
      </c>
      <c r="G14" s="4" t="str">
        <f>TestCase!I11</f>
        <v>Pass</v>
      </c>
    </row>
    <row r="15" spans="1:7" ht="30" customHeight="1" x14ac:dyDescent="0.35">
      <c r="A15" s="2" t="s">
        <v>346</v>
      </c>
      <c r="B15" s="3" t="s">
        <v>347</v>
      </c>
      <c r="C15" s="2" t="s">
        <v>41</v>
      </c>
      <c r="D15" s="2" t="s">
        <v>348</v>
      </c>
      <c r="E15" s="2" t="s">
        <v>140</v>
      </c>
      <c r="F15" s="3" t="s">
        <v>349</v>
      </c>
      <c r="G15" s="4" t="str">
        <f>TestCase!I12</f>
        <v>Pass</v>
      </c>
    </row>
    <row r="16" spans="1:7" ht="30" customHeight="1" x14ac:dyDescent="0.35">
      <c r="A16" s="2" t="s">
        <v>350</v>
      </c>
      <c r="B16" s="3" t="s">
        <v>351</v>
      </c>
      <c r="C16" s="2" t="s">
        <v>48</v>
      </c>
      <c r="D16" s="2" t="s">
        <v>352</v>
      </c>
      <c r="E16" s="2" t="s">
        <v>144</v>
      </c>
      <c r="F16" s="3" t="s">
        <v>353</v>
      </c>
      <c r="G16" s="4" t="str">
        <f>TestCase!I13</f>
        <v>Fail</v>
      </c>
    </row>
    <row r="17" spans="1:7" ht="30" customHeight="1" x14ac:dyDescent="0.35">
      <c r="A17" s="2" t="s">
        <v>354</v>
      </c>
      <c r="B17" s="3" t="s">
        <v>355</v>
      </c>
      <c r="C17" s="2" t="s">
        <v>48</v>
      </c>
      <c r="D17" s="2" t="s">
        <v>356</v>
      </c>
      <c r="E17" s="2" t="s">
        <v>151</v>
      </c>
      <c r="F17" s="3" t="s">
        <v>357</v>
      </c>
      <c r="G17" s="4" t="str">
        <f>TestCase!I14</f>
        <v>Fail</v>
      </c>
    </row>
    <row r="18" spans="1:7" ht="30" customHeight="1" x14ac:dyDescent="0.35">
      <c r="A18" s="2" t="s">
        <v>358</v>
      </c>
      <c r="B18" s="3" t="s">
        <v>359</v>
      </c>
      <c r="C18" s="2" t="s">
        <v>51</v>
      </c>
      <c r="D18" s="2" t="s">
        <v>360</v>
      </c>
      <c r="E18" s="2" t="s">
        <v>156</v>
      </c>
      <c r="F18" s="3" t="s">
        <v>361</v>
      </c>
      <c r="G18" s="4" t="str">
        <f>TestCase!I15</f>
        <v>Pass</v>
      </c>
    </row>
    <row r="19" spans="1:7" ht="30" customHeight="1" x14ac:dyDescent="0.35">
      <c r="A19" s="2" t="s">
        <v>362</v>
      </c>
      <c r="B19" s="3" t="s">
        <v>363</v>
      </c>
      <c r="C19" s="2" t="s">
        <v>51</v>
      </c>
      <c r="D19" s="2" t="s">
        <v>364</v>
      </c>
      <c r="E19" s="2" t="s">
        <v>160</v>
      </c>
      <c r="F19" s="3" t="s">
        <v>365</v>
      </c>
      <c r="G19" s="4" t="str">
        <f>TestCase!I16</f>
        <v>Pass</v>
      </c>
    </row>
    <row r="20" spans="1:7" ht="30" customHeight="1" x14ac:dyDescent="0.35">
      <c r="A20" s="2" t="s">
        <v>366</v>
      </c>
      <c r="B20" s="3" t="s">
        <v>367</v>
      </c>
      <c r="C20" s="2" t="s">
        <v>54</v>
      </c>
      <c r="D20" s="2" t="s">
        <v>368</v>
      </c>
      <c r="E20" s="2" t="s">
        <v>165</v>
      </c>
      <c r="F20" s="3" t="s">
        <v>369</v>
      </c>
      <c r="G20" s="4" t="str">
        <f>TestCase!I17</f>
        <v>Pass</v>
      </c>
    </row>
    <row r="21" spans="1:7" ht="30" customHeight="1" x14ac:dyDescent="0.35">
      <c r="A21" s="2" t="s">
        <v>366</v>
      </c>
      <c r="B21" s="3" t="s">
        <v>367</v>
      </c>
      <c r="C21" s="2" t="s">
        <v>54</v>
      </c>
      <c r="D21" s="2" t="s">
        <v>370</v>
      </c>
      <c r="E21" s="2" t="s">
        <v>170</v>
      </c>
      <c r="F21" s="3" t="s">
        <v>371</v>
      </c>
      <c r="G21" s="4" t="str">
        <f>TestCase!I18</f>
        <v>Pass</v>
      </c>
    </row>
    <row r="22" spans="1:7" ht="30" customHeight="1" x14ac:dyDescent="0.35">
      <c r="A22" s="2" t="s">
        <v>372</v>
      </c>
      <c r="B22" s="3" t="s">
        <v>373</v>
      </c>
      <c r="C22" s="2" t="s">
        <v>54</v>
      </c>
      <c r="D22" s="2" t="s">
        <v>374</v>
      </c>
      <c r="E22" s="2" t="s">
        <v>173</v>
      </c>
      <c r="F22" s="3" t="s">
        <v>375</v>
      </c>
      <c r="G22" s="4" t="str">
        <f>TestCase!I19</f>
        <v>Pass</v>
      </c>
    </row>
    <row r="23" spans="1:7" ht="30" customHeight="1" x14ac:dyDescent="0.35">
      <c r="A23" s="2" t="s">
        <v>376</v>
      </c>
      <c r="B23" s="3" t="s">
        <v>377</v>
      </c>
      <c r="C23" s="2" t="s">
        <v>58</v>
      </c>
      <c r="D23" s="2" t="s">
        <v>378</v>
      </c>
      <c r="E23" s="2" t="s">
        <v>177</v>
      </c>
      <c r="F23" s="3" t="s">
        <v>379</v>
      </c>
      <c r="G23" s="4" t="str">
        <f>TestCase!I20</f>
        <v>Pass</v>
      </c>
    </row>
    <row r="24" spans="1:7" ht="30" customHeight="1" x14ac:dyDescent="0.35">
      <c r="A24" s="2" t="s">
        <v>380</v>
      </c>
      <c r="B24" s="3" t="s">
        <v>381</v>
      </c>
      <c r="C24" s="2" t="s">
        <v>58</v>
      </c>
      <c r="D24" s="2" t="s">
        <v>382</v>
      </c>
      <c r="E24" s="2" t="s">
        <v>182</v>
      </c>
      <c r="F24" s="3" t="s">
        <v>383</v>
      </c>
      <c r="G24" s="4" t="str">
        <f>TestCase!I21</f>
        <v>Pass</v>
      </c>
    </row>
    <row r="25" spans="1:7" ht="30" customHeight="1" x14ac:dyDescent="0.35">
      <c r="A25" s="2" t="s">
        <v>380</v>
      </c>
      <c r="B25" s="3" t="s">
        <v>381</v>
      </c>
      <c r="C25" s="2" t="s">
        <v>58</v>
      </c>
      <c r="D25" s="2" t="s">
        <v>384</v>
      </c>
      <c r="E25" s="2" t="s">
        <v>187</v>
      </c>
      <c r="F25" s="3" t="s">
        <v>385</v>
      </c>
      <c r="G25" s="4" t="str">
        <f>TestCase!I22</f>
        <v>Fail</v>
      </c>
    </row>
    <row r="26" spans="1:7" ht="30" customHeight="1" x14ac:dyDescent="0.35">
      <c r="A26" s="2" t="s">
        <v>386</v>
      </c>
      <c r="B26" s="3" t="s">
        <v>387</v>
      </c>
      <c r="C26" s="2" t="s">
        <v>58</v>
      </c>
      <c r="D26" s="2" t="s">
        <v>388</v>
      </c>
      <c r="E26" s="2" t="s">
        <v>193</v>
      </c>
      <c r="F26" s="3" t="s">
        <v>389</v>
      </c>
      <c r="G26" s="4" t="str">
        <f>TestCase!I23</f>
        <v>Pass</v>
      </c>
    </row>
    <row r="27" spans="1:7" ht="30" customHeight="1" x14ac:dyDescent="0.35">
      <c r="A27" s="2" t="s">
        <v>390</v>
      </c>
      <c r="B27" s="3" t="s">
        <v>391</v>
      </c>
      <c r="C27" s="2" t="s">
        <v>58</v>
      </c>
      <c r="D27" s="2" t="s">
        <v>392</v>
      </c>
      <c r="E27" s="2" t="s">
        <v>198</v>
      </c>
      <c r="F27" s="3" t="s">
        <v>393</v>
      </c>
      <c r="G27" s="4" t="str">
        <f>TestCase!I24</f>
        <v>Pass</v>
      </c>
    </row>
    <row r="28" spans="1:7" ht="30" customHeight="1" x14ac:dyDescent="0.35">
      <c r="A28" s="2" t="s">
        <v>394</v>
      </c>
      <c r="B28" s="3" t="s">
        <v>395</v>
      </c>
      <c r="C28" s="2" t="s">
        <v>64</v>
      </c>
      <c r="D28" s="2" t="s">
        <v>396</v>
      </c>
      <c r="E28" s="2" t="s">
        <v>203</v>
      </c>
      <c r="F28" s="3" t="s">
        <v>397</v>
      </c>
      <c r="G28" s="4" t="str">
        <f>TestCase!I25</f>
        <v>Pass</v>
      </c>
    </row>
    <row r="29" spans="1:7" ht="30" customHeight="1" x14ac:dyDescent="0.35">
      <c r="A29" s="2" t="s">
        <v>398</v>
      </c>
      <c r="B29" s="3" t="s">
        <v>399</v>
      </c>
      <c r="C29" s="2" t="s">
        <v>64</v>
      </c>
      <c r="D29" s="2" t="s">
        <v>400</v>
      </c>
      <c r="E29" s="2" t="s">
        <v>208</v>
      </c>
      <c r="F29" s="3" t="s">
        <v>401</v>
      </c>
      <c r="G29" s="4" t="str">
        <f>TestCase!I26</f>
        <v>Pass</v>
      </c>
    </row>
    <row r="30" spans="1:7" ht="30" customHeight="1" x14ac:dyDescent="0.35">
      <c r="A30" s="2" t="s">
        <v>398</v>
      </c>
      <c r="B30" s="3" t="s">
        <v>399</v>
      </c>
      <c r="C30" s="2" t="s">
        <v>64</v>
      </c>
      <c r="D30" s="2" t="s">
        <v>402</v>
      </c>
      <c r="E30" s="2" t="s">
        <v>211</v>
      </c>
      <c r="F30" s="3" t="s">
        <v>403</v>
      </c>
      <c r="G30" s="4" t="str">
        <f>TestCase!I27</f>
        <v>Pass</v>
      </c>
    </row>
    <row r="31" spans="1:7" ht="30" customHeight="1" x14ac:dyDescent="0.35">
      <c r="A31" s="2" t="s">
        <v>404</v>
      </c>
      <c r="B31" s="3" t="s">
        <v>405</v>
      </c>
      <c r="C31" s="2" t="s">
        <v>68</v>
      </c>
      <c r="D31" s="2" t="s">
        <v>406</v>
      </c>
      <c r="E31" s="2" t="s">
        <v>216</v>
      </c>
      <c r="F31" s="3" t="s">
        <v>407</v>
      </c>
      <c r="G31" s="4" t="str">
        <f>TestCase!I28</f>
        <v>Pass</v>
      </c>
    </row>
    <row r="32" spans="1:7" ht="30" customHeight="1" x14ac:dyDescent="0.35">
      <c r="A32" s="2" t="s">
        <v>404</v>
      </c>
      <c r="B32" s="3" t="s">
        <v>405</v>
      </c>
      <c r="C32" s="2" t="s">
        <v>68</v>
      </c>
      <c r="D32" s="2" t="s">
        <v>408</v>
      </c>
      <c r="E32" s="2" t="s">
        <v>221</v>
      </c>
      <c r="F32" s="3" t="s">
        <v>409</v>
      </c>
      <c r="G32" s="4" t="str">
        <f>TestCase!I29</f>
        <v>Pass</v>
      </c>
    </row>
    <row r="33" spans="1:7" ht="30" customHeight="1" x14ac:dyDescent="0.35">
      <c r="A33" s="2" t="s">
        <v>404</v>
      </c>
      <c r="B33" s="3" t="s">
        <v>405</v>
      </c>
      <c r="C33" s="2" t="s">
        <v>68</v>
      </c>
      <c r="D33" s="2" t="s">
        <v>410</v>
      </c>
      <c r="E33" s="2" t="s">
        <v>225</v>
      </c>
      <c r="F33" s="3" t="s">
        <v>411</v>
      </c>
      <c r="G33" s="4" t="str">
        <f>TestCase!I30</f>
        <v>Pass</v>
      </c>
    </row>
    <row r="34" spans="1:7" ht="30" customHeight="1" x14ac:dyDescent="0.35">
      <c r="A34" s="2" t="s">
        <v>412</v>
      </c>
      <c r="B34" s="3" t="s">
        <v>413</v>
      </c>
      <c r="C34" s="2" t="s">
        <v>68</v>
      </c>
      <c r="D34" s="2" t="s">
        <v>414</v>
      </c>
      <c r="E34" s="2" t="s">
        <v>230</v>
      </c>
      <c r="F34" s="3" t="s">
        <v>415</v>
      </c>
      <c r="G34" s="4" t="str">
        <f>TestCase!I31</f>
        <v>Fail</v>
      </c>
    </row>
    <row r="35" spans="1:7" ht="30" customHeight="1" x14ac:dyDescent="0.35">
      <c r="A35" s="2" t="s">
        <v>416</v>
      </c>
      <c r="B35" s="3" t="s">
        <v>417</v>
      </c>
      <c r="C35" s="2" t="s">
        <v>73</v>
      </c>
      <c r="D35" s="2" t="s">
        <v>418</v>
      </c>
      <c r="E35" s="2" t="s">
        <v>236</v>
      </c>
      <c r="F35" s="3" t="s">
        <v>419</v>
      </c>
      <c r="G35" s="4" t="str">
        <f>TestCase!I32</f>
        <v>Pass</v>
      </c>
    </row>
    <row r="36" spans="1:7" ht="30" customHeight="1" x14ac:dyDescent="0.35">
      <c r="A36" s="2" t="s">
        <v>420</v>
      </c>
      <c r="B36" s="3" t="s">
        <v>421</v>
      </c>
      <c r="C36" s="2" t="s">
        <v>73</v>
      </c>
      <c r="D36" s="2" t="s">
        <v>422</v>
      </c>
      <c r="E36" s="2" t="s">
        <v>241</v>
      </c>
      <c r="F36" s="3" t="s">
        <v>423</v>
      </c>
      <c r="G36" s="4" t="str">
        <f>TestCase!I33</f>
        <v>Pass</v>
      </c>
    </row>
    <row r="37" spans="1:7" ht="30" customHeight="1" x14ac:dyDescent="0.35">
      <c r="A37" s="2" t="s">
        <v>424</v>
      </c>
      <c r="B37" s="3" t="s">
        <v>425</v>
      </c>
      <c r="C37" s="2" t="s">
        <v>76</v>
      </c>
      <c r="D37" s="2" t="s">
        <v>426</v>
      </c>
      <c r="E37" s="2" t="s">
        <v>244</v>
      </c>
      <c r="F37" s="3" t="s">
        <v>427</v>
      </c>
      <c r="G37" s="4" t="str">
        <f>TestCase!I34</f>
        <v>Pass</v>
      </c>
    </row>
    <row r="38" spans="1:7" ht="30" customHeight="1" x14ac:dyDescent="0.35">
      <c r="A38" s="2" t="s">
        <v>428</v>
      </c>
      <c r="B38" s="3" t="s">
        <v>429</v>
      </c>
      <c r="C38" s="2" t="s">
        <v>76</v>
      </c>
      <c r="D38" s="2" t="s">
        <v>430</v>
      </c>
      <c r="E38" s="2" t="s">
        <v>249</v>
      </c>
      <c r="F38" s="3" t="s">
        <v>431</v>
      </c>
      <c r="G38" s="4" t="str">
        <f>TestCase!I35</f>
        <v>Pass</v>
      </c>
    </row>
    <row r="39" spans="1:7" ht="30" customHeight="1" x14ac:dyDescent="0.35">
      <c r="A39" s="2" t="s">
        <v>432</v>
      </c>
      <c r="B39" s="3" t="s">
        <v>433</v>
      </c>
      <c r="C39" s="2" t="s">
        <v>79</v>
      </c>
      <c r="D39" s="2" t="s">
        <v>434</v>
      </c>
      <c r="E39" s="2" t="s">
        <v>254</v>
      </c>
      <c r="F39" s="3" t="s">
        <v>435</v>
      </c>
      <c r="G39" s="4" t="str">
        <f>TestCase!I36</f>
        <v>Pass</v>
      </c>
    </row>
    <row r="40" spans="1:7" ht="30" customHeight="1" x14ac:dyDescent="0.35">
      <c r="A40" s="2" t="s">
        <v>436</v>
      </c>
      <c r="B40" s="3" t="s">
        <v>437</v>
      </c>
      <c r="C40" s="2" t="s">
        <v>79</v>
      </c>
      <c r="D40" s="2" t="s">
        <v>438</v>
      </c>
      <c r="E40" s="2" t="s">
        <v>258</v>
      </c>
      <c r="F40" s="3" t="s">
        <v>439</v>
      </c>
      <c r="G40" s="4" t="str">
        <f>TestCase!I37</f>
        <v>Pass</v>
      </c>
    </row>
    <row r="42" spans="1:7" ht="15" customHeight="1" x14ac:dyDescent="0.35">
      <c r="A42" s="29" t="s">
        <v>440</v>
      </c>
      <c r="B42" s="30"/>
      <c r="C42" s="30"/>
    </row>
    <row r="43" spans="1:7" ht="15" customHeight="1" x14ac:dyDescent="0.35">
      <c r="A43" s="32" t="s">
        <v>287</v>
      </c>
      <c r="B43" s="33"/>
      <c r="C43" s="5">
        <f>COUNTA(E5:E40)</f>
        <v>36</v>
      </c>
    </row>
    <row r="44" spans="1:7" ht="15" customHeight="1" x14ac:dyDescent="0.35">
      <c r="A44" s="32" t="s">
        <v>289</v>
      </c>
      <c r="B44" s="33"/>
      <c r="C44" s="5">
        <f>COUNTIF(G5:G40,"Pass")</f>
        <v>32</v>
      </c>
    </row>
    <row r="45" spans="1:7" ht="15" customHeight="1" x14ac:dyDescent="0.35">
      <c r="A45" s="32" t="s">
        <v>290</v>
      </c>
      <c r="B45" s="33"/>
      <c r="C45" s="5">
        <f>COUNTIF(G5:G40,"Fail")</f>
        <v>4</v>
      </c>
    </row>
    <row r="46" spans="1:7" ht="15" customHeight="1" x14ac:dyDescent="0.35">
      <c r="A46" s="32" t="s">
        <v>288</v>
      </c>
      <c r="B46" s="33"/>
      <c r="C46" s="5">
        <f>COUNTA(G5:G40)</f>
        <v>36</v>
      </c>
    </row>
  </sheetData>
  <mergeCells count="7">
    <mergeCell ref="A42:C42"/>
    <mergeCell ref="A1:G1"/>
    <mergeCell ref="A43:B43"/>
    <mergeCell ref="A45:B45"/>
    <mergeCell ref="A46:B46"/>
    <mergeCell ref="A2:G2"/>
    <mergeCell ref="A44:B44"/>
  </mergeCells>
  <conditionalFormatting sqref="G5:G40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"Not Executed"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TestPlan</vt:lpstr>
      <vt:lpstr>TestScenario</vt:lpstr>
      <vt:lpstr>TestCase</vt:lpstr>
      <vt:lpstr>DefectReport</vt:lpstr>
      <vt:lpstr>SummaryReport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Students</cp:lastModifiedBy>
  <cp:revision>0</cp:revision>
  <dcterms:created xsi:type="dcterms:W3CDTF">2026-10-06T18:32:00Z</dcterms:created>
  <dcterms:modified xsi:type="dcterms:W3CDTF">2026-10-07T09:36:56Z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512E2106282C45269ADCE2963673D65A_13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